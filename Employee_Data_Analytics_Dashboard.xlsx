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queryTables/queryTable1.xml" ContentType="application/vnd.openxmlformats-officedocument.spreadsheetml.query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202300"/>
  <mc:AlternateContent xmlns:mc="http://schemas.openxmlformats.org/markup-compatibility/2006">
    <mc:Choice Requires="x15">
      <x15ac:absPath xmlns:x15ac="http://schemas.microsoft.com/office/spreadsheetml/2010/11/ac" url="https://d.docs.live.net/9C4DD8672F14A864/Documents/21 Day Challenges/WEEK 1challenges/"/>
    </mc:Choice>
  </mc:AlternateContent>
  <xr:revisionPtr revIDLastSave="0" documentId="8_{D2A658D0-207D-4B19-9CB7-60498887EBE7}" xr6:coauthVersionLast="47" xr6:coauthVersionMax="47" xr10:uidLastSave="{00000000-0000-0000-0000-000000000000}"/>
  <bookViews>
    <workbookView xWindow="-108" yWindow="-108" windowWidth="23256" windowHeight="12456" xr2:uid="{5F9A2296-F156-4BB3-ABAB-D50D6CC498B1}"/>
  </bookViews>
  <sheets>
    <sheet name=" Formatting" sheetId="1" r:id="rId1"/>
    <sheet name="Cleaning" sheetId="2" r:id="rId2"/>
    <sheet name=" Summary satistics " sheetId="3" r:id="rId3"/>
    <sheet name=" Condition Formatting" sheetId="5" r:id="rId4"/>
    <sheet name="Text  Cleanup" sheetId="6" r:id="rId5"/>
    <sheet name="Finding Duplicates" sheetId="7" r:id="rId6"/>
    <sheet name=" POWER QUERY 1" sheetId="9" r:id="rId7"/>
    <sheet name="Conditional Formatting" sheetId="10" r:id="rId8"/>
    <sheet name="Descriptive Statistics" sheetId="11" r:id="rId9"/>
    <sheet name="Filtering, Sorting &amp; Exploring " sheetId="12" r:id="rId10"/>
    <sheet name="Date &amp; Time Functions" sheetId="13" r:id="rId11"/>
    <sheet name="Orginal data" sheetId="14" r:id="rId12"/>
    <sheet name="VLOOOKUP Duplicates" sheetId="15" r:id="rId13"/>
    <sheet name="INDEX +MATCH" sheetId="16" r:id="rId14"/>
    <sheet name="Pivot Tables" sheetId="17" r:id="rId15"/>
    <sheet name="Pivot Tables (Part 2)" sheetId="18" r:id="rId16"/>
    <sheet name="Charts &amp; Graphs (Part 1)" sheetId="20" r:id="rId17"/>
    <sheet name=" Charts &amp; Graphs (Part 2)" sheetId="21" r:id="rId18"/>
    <sheet name="Dashboard " sheetId="22" r:id="rId19"/>
  </sheets>
  <definedNames>
    <definedName name="_xlnm._FilterDatabase" localSheetId="13" hidden="1">'INDEX +MATCH'!$A$1:$P$152</definedName>
    <definedName name="_xlcn.WorksheetConnection_DAY1Formatting.xlsxTable117EmployeeIDGender1" hidden="1">Table117[[Employee ID]:[Gender]]</definedName>
    <definedName name="_xlcn.WorksheetConnection_INDEXMATCHA2H1521" hidden="1">'INDEX +MATCH'!$A$2:$H$152</definedName>
    <definedName name="_xlcn.WorksheetConnection_OrginaldataA2H1521" hidden="1">'Orginal data'!$A$2:$H$152</definedName>
    <definedName name="_xlcn.WorksheetConnection_VLOOOKUPDuplicatesA2H1531" hidden="1">'VLOOOKUP Duplicates'!$A$2:$H$153</definedName>
    <definedName name="ExternalData_1" localSheetId="6" hidden="1">' POWER QUERY 1'!$A$2:$I$152</definedName>
    <definedName name="Slicer_Department">#N/A</definedName>
    <definedName name="Slicer_Employee_ID">#N/A</definedName>
    <definedName name="Slicer_Name">#N/A</definedName>
  </definedNames>
  <calcPr calcId="191029"/>
  <pivotCaches>
    <pivotCache cacheId="0" r:id="rId20"/>
    <pivotCache cacheId="1739" r:id="rId21"/>
    <pivotCache cacheId="1742" r:id="rId22"/>
    <pivotCache cacheId="1745" r:id="rId23"/>
    <pivotCache cacheId="1757" r:id="rId24"/>
    <pivotCache cacheId="1772" r:id="rId25"/>
    <pivotCache cacheId="1775" r:id="rId26"/>
    <pivotCache cacheId="1778" r:id="rId27"/>
    <pivotCache cacheId="1781" r:id="rId28"/>
    <pivotCache cacheId="1784" r:id="rId29"/>
    <pivotCache cacheId="1793" r:id="rId30"/>
    <pivotCache cacheId="1796" r:id="rId31"/>
    <pivotCache cacheId="1799" r:id="rId32"/>
  </pivotCaches>
  <extLst>
    <ext xmlns:x14="http://schemas.microsoft.com/office/spreadsheetml/2009/9/main" uri="{876F7934-8845-4945-9796-88D515C7AA90}">
      <x14:pivotCaches>
        <pivotCache cacheId="59" r:id="rId33"/>
      </x14:pivotCaches>
    </ext>
    <ext xmlns:x14="http://schemas.microsoft.com/office/spreadsheetml/2009/9/main" uri="{BBE1A952-AA13-448e-AADC-164F8A28A991}">
      <x14:slicerCaches>
        <x14:slicerCache r:id="rId34"/>
        <x14:slicerCache r:id="rId35"/>
        <x14:slicerCache r:id="rId36"/>
      </x14:slicerCaches>
    </ext>
    <ext xmlns:x14="http://schemas.microsoft.com/office/spreadsheetml/2009/9/main" uri="{79F54976-1DA5-4618-B147-4CDE4B953A38}">
      <x14:workbookPr/>
    </ext>
    <ext xmlns:x15="http://schemas.microsoft.com/office/spreadsheetml/2010/11/main" uri="{841E416B-1EF1-43b6-AB56-02D37102CBD5}">
      <x15:pivotCaches>
        <pivotCache cacheId="1787" r:id="rId37"/>
        <pivotCache cacheId="1790" r:id="rId38"/>
        <pivotCache cacheId="1802" r:id="rId39"/>
        <pivotCache cacheId="1805" r:id="rId40"/>
      </x15:pivotCaches>
    </ext>
    <ext xmlns:x15="http://schemas.microsoft.com/office/spreadsheetml/2010/11/main" uri="{983426D0-5260-488c-9760-48F4B6AC55F4}">
      <x15:pivotTableReferences>
        <x15:pivotTableReference r:id="rId41"/>
        <x15:pivotTableReference r:id="rId42"/>
        <x15:pivotTableReference r:id="rId43"/>
        <x15:pivotTableReference r:id="rId44"/>
      </x15:pivotTableReference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1" name="Range 1" connection="WorksheetConnection_VLOOOKUP Duplicates!$A$2:$H$153"/>
          <x15:modelTable id="Range 2" name="Range 2" connection="WorksheetConnection_Orginal data!$A$2:$H$152"/>
          <x15:modelTable id="Range" name="Range" connection="WorksheetConnection_INDEX +MATCH!$A$2:$H$152"/>
          <x15:modelTable id="Table117  Employee ID   Gender" name="Table117  Employee ID   Gender" connection="WorksheetConnection_DAY-1 Formatting.xlsx!Table117[[Employee ID]:[Gender]]"/>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6" i="16" l="1" a="1"/>
  <c r="O6" i="16" s="1"/>
  <c r="O5" i="16"/>
  <c r="L3" i="16" a="1"/>
  <c r="L3" i="16" s="1"/>
  <c r="H4" i="15"/>
  <c r="H5" i="15"/>
  <c r="H6" i="15"/>
  <c r="H7" i="15"/>
  <c r="H8" i="15"/>
  <c r="H9" i="15"/>
  <c r="H10" i="15"/>
  <c r="H11" i="15"/>
  <c r="H12" i="15"/>
  <c r="H13" i="15"/>
  <c r="H14" i="15"/>
  <c r="H15" i="15"/>
  <c r="H16" i="15"/>
  <c r="H17" i="15"/>
  <c r="H18" i="15"/>
  <c r="H19" i="15"/>
  <c r="H20" i="15"/>
  <c r="H21" i="15"/>
  <c r="H22" i="15"/>
  <c r="H23" i="15"/>
  <c r="H24" i="15"/>
  <c r="H25" i="15"/>
  <c r="H26" i="15"/>
  <c r="H27" i="15"/>
  <c r="H28" i="15"/>
  <c r="H29" i="15"/>
  <c r="H30" i="15"/>
  <c r="H31" i="15"/>
  <c r="H32" i="15"/>
  <c r="H33" i="15"/>
  <c r="H34" i="15"/>
  <c r="H35" i="15"/>
  <c r="H36" i="15"/>
  <c r="H37" i="15"/>
  <c r="H38" i="15"/>
  <c r="H39" i="15"/>
  <c r="H40" i="15"/>
  <c r="H41" i="15"/>
  <c r="H42" i="15"/>
  <c r="H43" i="15"/>
  <c r="H44" i="15"/>
  <c r="H45" i="15"/>
  <c r="H46" i="15"/>
  <c r="H47" i="15"/>
  <c r="H48" i="15"/>
  <c r="H49" i="15"/>
  <c r="H50" i="15"/>
  <c r="H51" i="15"/>
  <c r="H52" i="15"/>
  <c r="H53" i="15"/>
  <c r="H54" i="15"/>
  <c r="H55" i="15"/>
  <c r="H56" i="15"/>
  <c r="H57" i="15"/>
  <c r="H58" i="15"/>
  <c r="H59" i="15"/>
  <c r="H60" i="15"/>
  <c r="H61" i="15"/>
  <c r="H62" i="15"/>
  <c r="H63" i="15"/>
  <c r="H64" i="15"/>
  <c r="H65" i="15"/>
  <c r="H66" i="15"/>
  <c r="H67" i="15"/>
  <c r="H68" i="15"/>
  <c r="H69" i="15"/>
  <c r="H70" i="15"/>
  <c r="H71" i="15"/>
  <c r="H72" i="15"/>
  <c r="H73" i="15"/>
  <c r="H74" i="15"/>
  <c r="H75" i="15"/>
  <c r="H76" i="15"/>
  <c r="H77" i="15"/>
  <c r="H78" i="15"/>
  <c r="H79" i="15"/>
  <c r="H80" i="15"/>
  <c r="H81" i="15"/>
  <c r="H82" i="15"/>
  <c r="H83" i="15"/>
  <c r="H84" i="15"/>
  <c r="H85" i="15"/>
  <c r="H86" i="15"/>
  <c r="H87" i="15"/>
  <c r="H88" i="15"/>
  <c r="H89" i="15"/>
  <c r="H90" i="15"/>
  <c r="H91" i="15"/>
  <c r="H92" i="15"/>
  <c r="H93" i="15"/>
  <c r="H94" i="15"/>
  <c r="H95" i="15"/>
  <c r="H96" i="15"/>
  <c r="H97" i="15"/>
  <c r="H98" i="15"/>
  <c r="H99" i="15"/>
  <c r="H100" i="15"/>
  <c r="H101" i="15"/>
  <c r="H102" i="15"/>
  <c r="H103" i="15"/>
  <c r="H104" i="15"/>
  <c r="H105" i="15"/>
  <c r="H106" i="15"/>
  <c r="H107" i="15"/>
  <c r="H108" i="15"/>
  <c r="H109" i="15"/>
  <c r="H110" i="15"/>
  <c r="H111" i="15"/>
  <c r="H112" i="15"/>
  <c r="H113" i="15"/>
  <c r="H114" i="15"/>
  <c r="H115" i="15"/>
  <c r="H116" i="15"/>
  <c r="H117" i="15"/>
  <c r="H118" i="15"/>
  <c r="H119" i="15"/>
  <c r="H120" i="15"/>
  <c r="H121" i="15"/>
  <c r="H122" i="15"/>
  <c r="H123" i="15"/>
  <c r="H124" i="15"/>
  <c r="H125" i="15"/>
  <c r="H126" i="15"/>
  <c r="H127" i="15"/>
  <c r="H128" i="15"/>
  <c r="H129" i="15"/>
  <c r="H130" i="15"/>
  <c r="H131" i="15"/>
  <c r="H132" i="15"/>
  <c r="H133" i="15"/>
  <c r="H134" i="15"/>
  <c r="H135" i="15"/>
  <c r="H136" i="15"/>
  <c r="H137" i="15"/>
  <c r="H138" i="15"/>
  <c r="H139" i="15"/>
  <c r="H140" i="15"/>
  <c r="H141" i="15"/>
  <c r="H142" i="15"/>
  <c r="H143" i="15"/>
  <c r="H144" i="15"/>
  <c r="H145" i="15"/>
  <c r="H146" i="15"/>
  <c r="H147" i="15"/>
  <c r="H148" i="15"/>
  <c r="H149" i="15"/>
  <c r="H150" i="15"/>
  <c r="H151" i="15"/>
  <c r="H152" i="15"/>
  <c r="H153" i="15"/>
  <c r="G4" i="15"/>
  <c r="G5" i="15"/>
  <c r="G6" i="15"/>
  <c r="G7" i="15"/>
  <c r="G8" i="15"/>
  <c r="G9" i="15"/>
  <c r="G10" i="15"/>
  <c r="G11" i="15"/>
  <c r="G12" i="15"/>
  <c r="G13" i="15"/>
  <c r="G14" i="15"/>
  <c r="G15" i="15"/>
  <c r="G16" i="15"/>
  <c r="G17" i="15"/>
  <c r="G18" i="15"/>
  <c r="G19" i="15"/>
  <c r="G20" i="15"/>
  <c r="G21" i="15"/>
  <c r="G22" i="15"/>
  <c r="G23" i="15"/>
  <c r="G24" i="15"/>
  <c r="G25" i="15"/>
  <c r="G26" i="15"/>
  <c r="G27" i="15"/>
  <c r="G28" i="15"/>
  <c r="G29" i="15"/>
  <c r="G30" i="15"/>
  <c r="G31" i="15"/>
  <c r="G32" i="15"/>
  <c r="G33" i="15"/>
  <c r="G34" i="15"/>
  <c r="G35" i="15"/>
  <c r="G36" i="15"/>
  <c r="G37" i="15"/>
  <c r="G38" i="15"/>
  <c r="G39" i="15"/>
  <c r="G40" i="15"/>
  <c r="G41" i="15"/>
  <c r="G42" i="15"/>
  <c r="G43" i="15"/>
  <c r="G44" i="15"/>
  <c r="G45" i="15"/>
  <c r="G46" i="15"/>
  <c r="G47" i="15"/>
  <c r="G48" i="15"/>
  <c r="G49" i="15"/>
  <c r="G50" i="15"/>
  <c r="G51" i="15"/>
  <c r="G52" i="15"/>
  <c r="G53" i="15"/>
  <c r="G54" i="15"/>
  <c r="G55" i="15"/>
  <c r="G56" i="15"/>
  <c r="G57" i="15"/>
  <c r="G58" i="15"/>
  <c r="G59" i="15"/>
  <c r="G60" i="15"/>
  <c r="G61" i="15"/>
  <c r="G62" i="15"/>
  <c r="G63" i="15"/>
  <c r="G64" i="15"/>
  <c r="G65" i="15"/>
  <c r="G66" i="15"/>
  <c r="G67" i="15"/>
  <c r="G68" i="15"/>
  <c r="G69" i="15"/>
  <c r="G70" i="15"/>
  <c r="G71" i="15"/>
  <c r="G72" i="15"/>
  <c r="G73" i="15"/>
  <c r="G74" i="15"/>
  <c r="G75" i="15"/>
  <c r="G76" i="15"/>
  <c r="G77" i="15"/>
  <c r="G78" i="15"/>
  <c r="G79" i="15"/>
  <c r="G80" i="15"/>
  <c r="G81" i="15"/>
  <c r="G82" i="15"/>
  <c r="G83" i="15"/>
  <c r="G84" i="15"/>
  <c r="G85" i="15"/>
  <c r="G86" i="15"/>
  <c r="G87" i="15"/>
  <c r="G88" i="15"/>
  <c r="G89" i="15"/>
  <c r="G90" i="15"/>
  <c r="G91" i="15"/>
  <c r="G92" i="15"/>
  <c r="G93" i="15"/>
  <c r="G94" i="15"/>
  <c r="G95" i="15"/>
  <c r="G96" i="15"/>
  <c r="G97" i="15"/>
  <c r="G98" i="15"/>
  <c r="G99" i="15"/>
  <c r="G100" i="15"/>
  <c r="G101" i="15"/>
  <c r="G102" i="15"/>
  <c r="G103" i="15"/>
  <c r="G104" i="15"/>
  <c r="G105" i="15"/>
  <c r="G106" i="15"/>
  <c r="G107" i="15"/>
  <c r="G108" i="15"/>
  <c r="G109" i="15"/>
  <c r="G110" i="15"/>
  <c r="G111" i="15"/>
  <c r="G112" i="15"/>
  <c r="G113" i="15"/>
  <c r="G114" i="15"/>
  <c r="G115" i="15"/>
  <c r="G116" i="15"/>
  <c r="G117" i="15"/>
  <c r="G118" i="15"/>
  <c r="G119" i="15"/>
  <c r="G120" i="15"/>
  <c r="G121" i="15"/>
  <c r="G122" i="15"/>
  <c r="G123" i="15"/>
  <c r="G124" i="15"/>
  <c r="G125" i="15"/>
  <c r="G126" i="15"/>
  <c r="G127" i="15"/>
  <c r="G128" i="15"/>
  <c r="G129" i="15"/>
  <c r="G130" i="15"/>
  <c r="G131" i="15"/>
  <c r="G132" i="15"/>
  <c r="G133" i="15"/>
  <c r="G134" i="15"/>
  <c r="G135" i="15"/>
  <c r="G136" i="15"/>
  <c r="G137" i="15"/>
  <c r="G138" i="15"/>
  <c r="G139" i="15"/>
  <c r="G140" i="15"/>
  <c r="G141" i="15"/>
  <c r="G142" i="15"/>
  <c r="G143" i="15"/>
  <c r="G144" i="15"/>
  <c r="G145" i="15"/>
  <c r="G146" i="15"/>
  <c r="G147" i="15"/>
  <c r="G148" i="15"/>
  <c r="G149" i="15"/>
  <c r="G150" i="15"/>
  <c r="G151" i="15"/>
  <c r="G152" i="15"/>
  <c r="G153" i="15"/>
  <c r="F4" i="15"/>
  <c r="F5" i="15"/>
  <c r="F6" i="15"/>
  <c r="F7" i="15"/>
  <c r="F8" i="15"/>
  <c r="F9" i="15"/>
  <c r="F10" i="15"/>
  <c r="F11" i="15"/>
  <c r="F12" i="15"/>
  <c r="F13" i="15"/>
  <c r="F14" i="15"/>
  <c r="F15" i="15"/>
  <c r="F16" i="15"/>
  <c r="F17" i="15"/>
  <c r="F18" i="15"/>
  <c r="F19" i="15"/>
  <c r="F20" i="15"/>
  <c r="F21" i="15"/>
  <c r="F22" i="15"/>
  <c r="F23" i="15"/>
  <c r="F24" i="15"/>
  <c r="F25" i="15"/>
  <c r="F26" i="15"/>
  <c r="F27" i="15"/>
  <c r="F28" i="15"/>
  <c r="F29" i="15"/>
  <c r="F30" i="15"/>
  <c r="F31" i="15"/>
  <c r="F32" i="15"/>
  <c r="F33" i="15"/>
  <c r="F34" i="15"/>
  <c r="F35" i="15"/>
  <c r="F36" i="15"/>
  <c r="F37" i="15"/>
  <c r="F38" i="15"/>
  <c r="F39" i="15"/>
  <c r="F40" i="15"/>
  <c r="F41" i="15"/>
  <c r="F42" i="15"/>
  <c r="F43" i="15"/>
  <c r="F44" i="15"/>
  <c r="F45" i="15"/>
  <c r="F46" i="15"/>
  <c r="F47" i="15"/>
  <c r="F48" i="15"/>
  <c r="F49" i="15"/>
  <c r="F50" i="15"/>
  <c r="F51" i="15"/>
  <c r="F52" i="15"/>
  <c r="F53" i="15"/>
  <c r="F54" i="15"/>
  <c r="F55" i="15"/>
  <c r="F56" i="15"/>
  <c r="F57" i="15"/>
  <c r="F58" i="15"/>
  <c r="F59" i="15"/>
  <c r="F60" i="15"/>
  <c r="F61" i="15"/>
  <c r="F62" i="15"/>
  <c r="F63" i="15"/>
  <c r="F64" i="15"/>
  <c r="F65" i="15"/>
  <c r="F66" i="15"/>
  <c r="F67" i="15"/>
  <c r="F68" i="15"/>
  <c r="F69" i="15"/>
  <c r="F70" i="15"/>
  <c r="F71" i="15"/>
  <c r="F72" i="15"/>
  <c r="F73" i="15"/>
  <c r="F74" i="15"/>
  <c r="F75" i="15"/>
  <c r="F76" i="15"/>
  <c r="F77" i="15"/>
  <c r="F78" i="15"/>
  <c r="F79" i="15"/>
  <c r="F80" i="15"/>
  <c r="F81" i="15"/>
  <c r="F82" i="15"/>
  <c r="F83" i="15"/>
  <c r="F84" i="15"/>
  <c r="F85" i="15"/>
  <c r="F86" i="15"/>
  <c r="F87" i="15"/>
  <c r="F88" i="15"/>
  <c r="F89" i="15"/>
  <c r="F90" i="15"/>
  <c r="F91" i="15"/>
  <c r="F92" i="15"/>
  <c r="F93" i="15"/>
  <c r="F94" i="15"/>
  <c r="F95" i="15"/>
  <c r="F96" i="15"/>
  <c r="F97" i="15"/>
  <c r="F98" i="15"/>
  <c r="F99" i="15"/>
  <c r="F100" i="15"/>
  <c r="F101" i="15"/>
  <c r="F102" i="15"/>
  <c r="F103" i="15"/>
  <c r="F104" i="15"/>
  <c r="F105" i="15"/>
  <c r="F106" i="15"/>
  <c r="F107" i="15"/>
  <c r="F108" i="15"/>
  <c r="F109" i="15"/>
  <c r="F110" i="15"/>
  <c r="F111" i="15"/>
  <c r="F112" i="15"/>
  <c r="F113" i="15"/>
  <c r="F114" i="15"/>
  <c r="F115" i="15"/>
  <c r="F116" i="15"/>
  <c r="F117" i="15"/>
  <c r="F118" i="15"/>
  <c r="F119" i="15"/>
  <c r="F120" i="15"/>
  <c r="F121" i="15"/>
  <c r="F122" i="15"/>
  <c r="F123" i="15"/>
  <c r="F124" i="15"/>
  <c r="F125" i="15"/>
  <c r="F126" i="15"/>
  <c r="F127" i="15"/>
  <c r="F128" i="15"/>
  <c r="F129" i="15"/>
  <c r="F130" i="15"/>
  <c r="F131" i="15"/>
  <c r="F132" i="15"/>
  <c r="F133" i="15"/>
  <c r="F134" i="15"/>
  <c r="F135" i="15"/>
  <c r="F136" i="15"/>
  <c r="F137" i="15"/>
  <c r="F138" i="15"/>
  <c r="F139" i="15"/>
  <c r="F140" i="15"/>
  <c r="F141" i="15"/>
  <c r="F142" i="15"/>
  <c r="F143" i="15"/>
  <c r="F144" i="15"/>
  <c r="F145" i="15"/>
  <c r="F146" i="15"/>
  <c r="F147" i="15"/>
  <c r="F148" i="15"/>
  <c r="F149" i="15"/>
  <c r="F150" i="15"/>
  <c r="F151" i="15"/>
  <c r="F152" i="15"/>
  <c r="F153" i="15"/>
  <c r="E4" i="15"/>
  <c r="E5" i="15"/>
  <c r="E6" i="15"/>
  <c r="E7" i="15"/>
  <c r="E8" i="15"/>
  <c r="E9" i="15"/>
  <c r="E10" i="15"/>
  <c r="E11" i="15"/>
  <c r="E12" i="15"/>
  <c r="E13" i="15"/>
  <c r="E14" i="15"/>
  <c r="E15" i="15"/>
  <c r="E16" i="15"/>
  <c r="E17" i="15"/>
  <c r="E18" i="15"/>
  <c r="E19" i="15"/>
  <c r="E20" i="15"/>
  <c r="E21" i="15"/>
  <c r="E22" i="15"/>
  <c r="E23" i="15"/>
  <c r="E24" i="15"/>
  <c r="E25" i="15"/>
  <c r="E26" i="15"/>
  <c r="E27" i="15"/>
  <c r="E28" i="15"/>
  <c r="E29" i="15"/>
  <c r="E30" i="15"/>
  <c r="E31" i="15"/>
  <c r="E32" i="15"/>
  <c r="E33" i="15"/>
  <c r="E34" i="15"/>
  <c r="E35" i="15"/>
  <c r="E36" i="15"/>
  <c r="E37" i="15"/>
  <c r="E38" i="15"/>
  <c r="E39" i="15"/>
  <c r="E40" i="15"/>
  <c r="E41" i="15"/>
  <c r="E42" i="15"/>
  <c r="E43" i="15"/>
  <c r="E44" i="15"/>
  <c r="E45" i="15"/>
  <c r="E46" i="15"/>
  <c r="E47" i="15"/>
  <c r="E48" i="15"/>
  <c r="E49" i="15"/>
  <c r="E50" i="15"/>
  <c r="E51" i="15"/>
  <c r="E52" i="15"/>
  <c r="E53" i="15"/>
  <c r="E54" i="15"/>
  <c r="E55" i="15"/>
  <c r="E56" i="15"/>
  <c r="E57" i="15"/>
  <c r="E58" i="15"/>
  <c r="E59" i="15"/>
  <c r="E60" i="15"/>
  <c r="E61" i="15"/>
  <c r="E62" i="15"/>
  <c r="E63" i="15"/>
  <c r="E64" i="15"/>
  <c r="E65" i="15"/>
  <c r="E66" i="15"/>
  <c r="E67" i="15"/>
  <c r="E68" i="15"/>
  <c r="E69" i="15"/>
  <c r="E70" i="15"/>
  <c r="E71" i="15"/>
  <c r="E72" i="15"/>
  <c r="E73" i="15"/>
  <c r="E74" i="15"/>
  <c r="E75" i="15"/>
  <c r="E76" i="15"/>
  <c r="E77" i="15"/>
  <c r="E78" i="15"/>
  <c r="E79" i="15"/>
  <c r="E80" i="15"/>
  <c r="E81" i="15"/>
  <c r="E82" i="15"/>
  <c r="E83" i="15"/>
  <c r="E84" i="15"/>
  <c r="E85" i="15"/>
  <c r="E86" i="15"/>
  <c r="E87" i="15"/>
  <c r="E88" i="15"/>
  <c r="E89" i="15"/>
  <c r="E90" i="15"/>
  <c r="E91" i="15"/>
  <c r="E92" i="15"/>
  <c r="E93" i="15"/>
  <c r="E94" i="15"/>
  <c r="E95" i="15"/>
  <c r="E96" i="15"/>
  <c r="E97" i="15"/>
  <c r="E98" i="15"/>
  <c r="E99" i="15"/>
  <c r="E100" i="15"/>
  <c r="E101" i="15"/>
  <c r="E102" i="15"/>
  <c r="E103" i="15"/>
  <c r="E104" i="15"/>
  <c r="E105" i="15"/>
  <c r="E106" i="15"/>
  <c r="E107" i="15"/>
  <c r="E108" i="15"/>
  <c r="E109" i="15"/>
  <c r="E110" i="15"/>
  <c r="E111" i="15"/>
  <c r="E112" i="15"/>
  <c r="E113" i="15"/>
  <c r="E114" i="15"/>
  <c r="E115" i="15"/>
  <c r="E116" i="15"/>
  <c r="E117" i="15"/>
  <c r="E118" i="15"/>
  <c r="E119" i="15"/>
  <c r="E120" i="15"/>
  <c r="E121" i="15"/>
  <c r="E122" i="15"/>
  <c r="E123" i="15"/>
  <c r="E124" i="15"/>
  <c r="E125" i="15"/>
  <c r="E126" i="15"/>
  <c r="E127" i="15"/>
  <c r="E128" i="15"/>
  <c r="E129" i="15"/>
  <c r="E130" i="15"/>
  <c r="E131" i="15"/>
  <c r="E132" i="15"/>
  <c r="E133" i="15"/>
  <c r="E134" i="15"/>
  <c r="E135" i="15"/>
  <c r="E136" i="15"/>
  <c r="E137" i="15"/>
  <c r="E138" i="15"/>
  <c r="E139" i="15"/>
  <c r="E140" i="15"/>
  <c r="E141" i="15"/>
  <c r="E142" i="15"/>
  <c r="E143" i="15"/>
  <c r="E144" i="15"/>
  <c r="E145" i="15"/>
  <c r="E146" i="15"/>
  <c r="E147" i="15"/>
  <c r="E148" i="15"/>
  <c r="E149" i="15"/>
  <c r="E150" i="15"/>
  <c r="E151" i="15"/>
  <c r="E152" i="15"/>
  <c r="E153" i="15"/>
  <c r="D4" i="15"/>
  <c r="D5" i="15"/>
  <c r="D6" i="15"/>
  <c r="D7" i="15"/>
  <c r="D8" i="15"/>
  <c r="D9" i="15"/>
  <c r="D10" i="15"/>
  <c r="D11" i="15"/>
  <c r="D12" i="15"/>
  <c r="D13" i="15"/>
  <c r="D14" i="15"/>
  <c r="D15" i="15"/>
  <c r="D16" i="15"/>
  <c r="D17" i="15"/>
  <c r="D18" i="15"/>
  <c r="D19" i="15"/>
  <c r="D20" i="15"/>
  <c r="D21" i="15"/>
  <c r="D22" i="15"/>
  <c r="D23" i="15"/>
  <c r="D24" i="15"/>
  <c r="D25" i="15"/>
  <c r="D26" i="15"/>
  <c r="D27" i="15"/>
  <c r="D28" i="15"/>
  <c r="D29" i="15"/>
  <c r="D30" i="15"/>
  <c r="D31" i="15"/>
  <c r="D32" i="15"/>
  <c r="D33" i="15"/>
  <c r="D34" i="15"/>
  <c r="D35" i="15"/>
  <c r="D36" i="15"/>
  <c r="D37" i="15"/>
  <c r="D38" i="15"/>
  <c r="D39" i="15"/>
  <c r="D40" i="15"/>
  <c r="D41" i="15"/>
  <c r="D42" i="15"/>
  <c r="D43" i="15"/>
  <c r="D44" i="15"/>
  <c r="D45" i="15"/>
  <c r="D46" i="15"/>
  <c r="D47" i="15"/>
  <c r="D48" i="15"/>
  <c r="D49" i="15"/>
  <c r="D50" i="15"/>
  <c r="D51" i="15"/>
  <c r="D52" i="15"/>
  <c r="D53" i="15"/>
  <c r="D54" i="15"/>
  <c r="D55" i="15"/>
  <c r="D56" i="15"/>
  <c r="D57" i="15"/>
  <c r="D58" i="15"/>
  <c r="D59" i="15"/>
  <c r="D60" i="15"/>
  <c r="D61" i="15"/>
  <c r="D62" i="15"/>
  <c r="D63" i="15"/>
  <c r="D64" i="15"/>
  <c r="D65" i="15"/>
  <c r="D66" i="15"/>
  <c r="D67" i="15"/>
  <c r="D68" i="15"/>
  <c r="D69" i="15"/>
  <c r="D70" i="15"/>
  <c r="D71" i="15"/>
  <c r="D72" i="15"/>
  <c r="D73" i="15"/>
  <c r="D74" i="15"/>
  <c r="D75" i="15"/>
  <c r="D76" i="15"/>
  <c r="D77" i="15"/>
  <c r="D78" i="15"/>
  <c r="D79" i="15"/>
  <c r="D80" i="15"/>
  <c r="D81" i="15"/>
  <c r="D82" i="15"/>
  <c r="D83" i="15"/>
  <c r="D84" i="15"/>
  <c r="D85" i="15"/>
  <c r="D86" i="15"/>
  <c r="D87" i="15"/>
  <c r="D88" i="15"/>
  <c r="D89" i="15"/>
  <c r="D90" i="15"/>
  <c r="D91" i="15"/>
  <c r="D92" i="15"/>
  <c r="D93" i="15"/>
  <c r="D94" i="15"/>
  <c r="D95" i="15"/>
  <c r="D96" i="15"/>
  <c r="D97" i="15"/>
  <c r="D98" i="15"/>
  <c r="D99" i="15"/>
  <c r="D100" i="15"/>
  <c r="D101" i="15"/>
  <c r="D102" i="15"/>
  <c r="D103" i="15"/>
  <c r="D104" i="15"/>
  <c r="D105" i="15"/>
  <c r="D106" i="15"/>
  <c r="D107" i="15"/>
  <c r="D108" i="15"/>
  <c r="D109" i="15"/>
  <c r="D110" i="15"/>
  <c r="D111" i="15"/>
  <c r="D112" i="15"/>
  <c r="D113" i="15"/>
  <c r="D114" i="15"/>
  <c r="D115" i="15"/>
  <c r="D116" i="15"/>
  <c r="D117" i="15"/>
  <c r="D118" i="15"/>
  <c r="D119" i="15"/>
  <c r="D120" i="15"/>
  <c r="D121" i="15"/>
  <c r="D122" i="15"/>
  <c r="D123" i="15"/>
  <c r="D124" i="15"/>
  <c r="D125" i="15"/>
  <c r="D126" i="15"/>
  <c r="D127" i="15"/>
  <c r="D128" i="15"/>
  <c r="D129" i="15"/>
  <c r="D130" i="15"/>
  <c r="D131" i="15"/>
  <c r="D132" i="15"/>
  <c r="D133" i="15"/>
  <c r="D134" i="15"/>
  <c r="D135" i="15"/>
  <c r="D136" i="15"/>
  <c r="D137" i="15"/>
  <c r="D138" i="15"/>
  <c r="D139" i="15"/>
  <c r="D140" i="15"/>
  <c r="D141" i="15"/>
  <c r="D142" i="15"/>
  <c r="D143" i="15"/>
  <c r="D144" i="15"/>
  <c r="D145" i="15"/>
  <c r="D146" i="15"/>
  <c r="D147" i="15"/>
  <c r="D148" i="15"/>
  <c r="D149" i="15"/>
  <c r="D150" i="15"/>
  <c r="D151" i="15"/>
  <c r="D152" i="15"/>
  <c r="D153" i="15"/>
  <c r="C4" i="15"/>
  <c r="C5" i="15"/>
  <c r="C6" i="15"/>
  <c r="C7" i="15"/>
  <c r="C8" i="15"/>
  <c r="C9" i="15"/>
  <c r="C10" i="15"/>
  <c r="C11" i="15"/>
  <c r="C12" i="15"/>
  <c r="C13" i="15"/>
  <c r="C14" i="15"/>
  <c r="C15" i="15"/>
  <c r="C16" i="15"/>
  <c r="C17" i="15"/>
  <c r="C18" i="15"/>
  <c r="C19" i="15"/>
  <c r="C20" i="15"/>
  <c r="C21" i="15"/>
  <c r="C22" i="15"/>
  <c r="C23" i="15"/>
  <c r="C24" i="15"/>
  <c r="C25" i="15"/>
  <c r="C26" i="15"/>
  <c r="C27" i="15"/>
  <c r="C28" i="15"/>
  <c r="C29" i="15"/>
  <c r="C30" i="15"/>
  <c r="C31" i="15"/>
  <c r="C32" i="15"/>
  <c r="C33" i="15"/>
  <c r="C34" i="15"/>
  <c r="C35" i="15"/>
  <c r="C36" i="15"/>
  <c r="C37" i="15"/>
  <c r="C38" i="15"/>
  <c r="C39" i="15"/>
  <c r="C40" i="15"/>
  <c r="C41" i="15"/>
  <c r="C42" i="15"/>
  <c r="C43" i="15"/>
  <c r="C44" i="15"/>
  <c r="C45" i="15"/>
  <c r="C46" i="15"/>
  <c r="C47" i="15"/>
  <c r="C48" i="15"/>
  <c r="C49" i="15"/>
  <c r="C50" i="15"/>
  <c r="C51" i="15"/>
  <c r="C52" i="15"/>
  <c r="C53" i="15"/>
  <c r="C54" i="15"/>
  <c r="C55" i="15"/>
  <c r="C56" i="15"/>
  <c r="C57" i="15"/>
  <c r="C58" i="15"/>
  <c r="C59" i="15"/>
  <c r="C60" i="15"/>
  <c r="C61" i="15"/>
  <c r="C62" i="15"/>
  <c r="C63" i="15"/>
  <c r="C64" i="15"/>
  <c r="C65" i="15"/>
  <c r="C66" i="15"/>
  <c r="C67" i="15"/>
  <c r="C68" i="15"/>
  <c r="C69" i="15"/>
  <c r="C70" i="15"/>
  <c r="C71" i="15"/>
  <c r="C72" i="15"/>
  <c r="C73" i="15"/>
  <c r="C74" i="15"/>
  <c r="C75" i="15"/>
  <c r="C76" i="15"/>
  <c r="C77" i="15"/>
  <c r="C78" i="15"/>
  <c r="C79" i="15"/>
  <c r="C80" i="15"/>
  <c r="C81" i="15"/>
  <c r="C82" i="15"/>
  <c r="C83" i="15"/>
  <c r="C84" i="15"/>
  <c r="C85" i="15"/>
  <c r="C86" i="15"/>
  <c r="C87" i="15"/>
  <c r="C88" i="15"/>
  <c r="C89" i="15"/>
  <c r="C90" i="15"/>
  <c r="C91" i="15"/>
  <c r="C92" i="15"/>
  <c r="C93" i="15"/>
  <c r="C94" i="15"/>
  <c r="C95" i="15"/>
  <c r="C96" i="15"/>
  <c r="C97" i="15"/>
  <c r="C98" i="15"/>
  <c r="C99" i="15"/>
  <c r="C100" i="15"/>
  <c r="C101" i="15"/>
  <c r="C102" i="15"/>
  <c r="C103" i="15"/>
  <c r="C104" i="15"/>
  <c r="C105" i="15"/>
  <c r="C106" i="15"/>
  <c r="C107" i="15"/>
  <c r="C108" i="15"/>
  <c r="C109" i="15"/>
  <c r="C110" i="15"/>
  <c r="C111" i="15"/>
  <c r="C112" i="15"/>
  <c r="C113" i="15"/>
  <c r="C114" i="15"/>
  <c r="C115" i="15"/>
  <c r="C116" i="15"/>
  <c r="C117" i="15"/>
  <c r="C118" i="15"/>
  <c r="C119" i="15"/>
  <c r="C120" i="15"/>
  <c r="C121" i="15"/>
  <c r="C122" i="15"/>
  <c r="C123" i="15"/>
  <c r="C124" i="15"/>
  <c r="C125" i="15"/>
  <c r="C126" i="15"/>
  <c r="C127" i="15"/>
  <c r="C128" i="15"/>
  <c r="C129" i="15"/>
  <c r="C130" i="15"/>
  <c r="C131" i="15"/>
  <c r="C132" i="15"/>
  <c r="C133" i="15"/>
  <c r="C134" i="15"/>
  <c r="C135" i="15"/>
  <c r="C136" i="15"/>
  <c r="C137" i="15"/>
  <c r="C138" i="15"/>
  <c r="C139" i="15"/>
  <c r="C140" i="15"/>
  <c r="C141" i="15"/>
  <c r="C142" i="15"/>
  <c r="C143" i="15"/>
  <c r="C144" i="15"/>
  <c r="C145" i="15"/>
  <c r="C146" i="15"/>
  <c r="C147" i="15"/>
  <c r="C148" i="15"/>
  <c r="C149" i="15"/>
  <c r="C150" i="15"/>
  <c r="C151" i="15"/>
  <c r="C152" i="15"/>
  <c r="C153" i="15"/>
  <c r="H3" i="15"/>
  <c r="G3" i="15"/>
  <c r="F3" i="15"/>
  <c r="E3" i="15"/>
  <c r="D3" i="15"/>
  <c r="C3" i="15"/>
  <c r="B4" i="15"/>
  <c r="B5" i="15"/>
  <c r="B6" i="15"/>
  <c r="B7" i="15"/>
  <c r="B8" i="15"/>
  <c r="B9" i="15"/>
  <c r="B10" i="15"/>
  <c r="B11" i="15"/>
  <c r="B12" i="15"/>
  <c r="B13" i="15"/>
  <c r="B14" i="15"/>
  <c r="B15" i="15"/>
  <c r="B16" i="15"/>
  <c r="B17" i="15"/>
  <c r="B18" i="15"/>
  <c r="B19" i="15"/>
  <c r="B20" i="15"/>
  <c r="B21" i="15"/>
  <c r="B22" i="15"/>
  <c r="B23" i="15"/>
  <c r="B24" i="15"/>
  <c r="B25" i="15"/>
  <c r="B26" i="15"/>
  <c r="B27" i="15"/>
  <c r="B28" i="15"/>
  <c r="B29" i="15"/>
  <c r="B30" i="15"/>
  <c r="B31" i="15"/>
  <c r="B32" i="15"/>
  <c r="B33" i="15"/>
  <c r="B34" i="15"/>
  <c r="B35" i="15"/>
  <c r="B36" i="15"/>
  <c r="B37" i="15"/>
  <c r="B38" i="15"/>
  <c r="B39" i="15"/>
  <c r="B40" i="15"/>
  <c r="B41" i="15"/>
  <c r="B42" i="15"/>
  <c r="B43" i="15"/>
  <c r="B44" i="15"/>
  <c r="B45" i="15"/>
  <c r="B46" i="15"/>
  <c r="B47" i="15"/>
  <c r="B48" i="15"/>
  <c r="B49" i="15"/>
  <c r="B50" i="15"/>
  <c r="B51" i="15"/>
  <c r="B52" i="15"/>
  <c r="B53" i="15"/>
  <c r="B54" i="15"/>
  <c r="B55" i="15"/>
  <c r="B56" i="15"/>
  <c r="B57" i="15"/>
  <c r="B58" i="15"/>
  <c r="B59" i="15"/>
  <c r="B60" i="15"/>
  <c r="B61" i="15"/>
  <c r="B62" i="15"/>
  <c r="B63" i="15"/>
  <c r="B64" i="15"/>
  <c r="B65" i="15"/>
  <c r="B66" i="15"/>
  <c r="B67" i="15"/>
  <c r="B68" i="15"/>
  <c r="B69" i="15"/>
  <c r="B70" i="15"/>
  <c r="B71" i="15"/>
  <c r="B72" i="15"/>
  <c r="B73" i="15"/>
  <c r="B74" i="15"/>
  <c r="B75" i="15"/>
  <c r="B76" i="15"/>
  <c r="B77" i="15"/>
  <c r="B78" i="15"/>
  <c r="B79" i="15"/>
  <c r="B80" i="15"/>
  <c r="B81" i="15"/>
  <c r="B82" i="15"/>
  <c r="B83" i="15"/>
  <c r="B84" i="15"/>
  <c r="B85" i="15"/>
  <c r="B86" i="15"/>
  <c r="B87" i="15"/>
  <c r="B88" i="15"/>
  <c r="B89" i="15"/>
  <c r="B90" i="15"/>
  <c r="B91" i="15"/>
  <c r="B92" i="15"/>
  <c r="B93" i="15"/>
  <c r="B94" i="15"/>
  <c r="B95" i="15"/>
  <c r="B96" i="15"/>
  <c r="B97" i="15"/>
  <c r="B98" i="15"/>
  <c r="B99" i="15"/>
  <c r="B100" i="15"/>
  <c r="B101" i="15"/>
  <c r="B102" i="15"/>
  <c r="B103" i="15"/>
  <c r="B104" i="15"/>
  <c r="B105" i="15"/>
  <c r="B106" i="15"/>
  <c r="B107" i="15"/>
  <c r="B108" i="15"/>
  <c r="B109" i="15"/>
  <c r="B110" i="15"/>
  <c r="B111" i="15"/>
  <c r="B112" i="15"/>
  <c r="B113" i="15"/>
  <c r="B114" i="15"/>
  <c r="B115" i="15"/>
  <c r="B116" i="15"/>
  <c r="B117" i="15"/>
  <c r="B118" i="15"/>
  <c r="B119" i="15"/>
  <c r="B120" i="15"/>
  <c r="B121" i="15"/>
  <c r="B122" i="15"/>
  <c r="B123" i="15"/>
  <c r="B124" i="15"/>
  <c r="B125" i="15"/>
  <c r="B126" i="15"/>
  <c r="B127" i="15"/>
  <c r="B128" i="15"/>
  <c r="B129" i="15"/>
  <c r="B130" i="15"/>
  <c r="B131" i="15"/>
  <c r="B132" i="15"/>
  <c r="B133" i="15"/>
  <c r="B134" i="15"/>
  <c r="B135" i="15"/>
  <c r="B136" i="15"/>
  <c r="B137" i="15"/>
  <c r="B138" i="15"/>
  <c r="B139" i="15"/>
  <c r="B140" i="15"/>
  <c r="B141" i="15"/>
  <c r="B142" i="15"/>
  <c r="B143" i="15"/>
  <c r="B144" i="15"/>
  <c r="B145" i="15"/>
  <c r="B146" i="15"/>
  <c r="B147" i="15"/>
  <c r="B148" i="15"/>
  <c r="B149" i="15"/>
  <c r="B150" i="15"/>
  <c r="B151" i="15"/>
  <c r="B152" i="15"/>
  <c r="B153" i="15"/>
  <c r="B3" i="15"/>
  <c r="G152" i="13"/>
  <c r="G151" i="13"/>
  <c r="G150" i="13"/>
  <c r="G149" i="13"/>
  <c r="G148" i="13"/>
  <c r="G147" i="13"/>
  <c r="G146" i="13"/>
  <c r="G145" i="13"/>
  <c r="G144" i="13"/>
  <c r="G143" i="13"/>
  <c r="G142" i="13"/>
  <c r="G141" i="13"/>
  <c r="G140" i="13"/>
  <c r="G139" i="13"/>
  <c r="G138" i="13"/>
  <c r="G137" i="13"/>
  <c r="G136" i="13"/>
  <c r="G135" i="13"/>
  <c r="G134" i="13"/>
  <c r="G133" i="13"/>
  <c r="G132" i="13"/>
  <c r="G131" i="13"/>
  <c r="G130" i="13"/>
  <c r="G129" i="13"/>
  <c r="G128" i="13"/>
  <c r="G127" i="13"/>
  <c r="G126" i="13"/>
  <c r="G125" i="13"/>
  <c r="G124" i="13"/>
  <c r="G123" i="13"/>
  <c r="G122" i="13"/>
  <c r="G121" i="13"/>
  <c r="G120" i="13"/>
  <c r="G119" i="13"/>
  <c r="G118" i="13"/>
  <c r="G117" i="13"/>
  <c r="G116" i="13"/>
  <c r="G115" i="13"/>
  <c r="G114" i="13"/>
  <c r="G113" i="13"/>
  <c r="G112" i="13"/>
  <c r="G111" i="13"/>
  <c r="G110" i="13"/>
  <c r="G109" i="13"/>
  <c r="G108" i="13"/>
  <c r="G107" i="13"/>
  <c r="G106" i="13"/>
  <c r="G105" i="13"/>
  <c r="G104" i="13"/>
  <c r="G103" i="13"/>
  <c r="G102" i="13"/>
  <c r="G101" i="13"/>
  <c r="G100" i="13"/>
  <c r="G99" i="13"/>
  <c r="G98" i="13"/>
  <c r="G97" i="13"/>
  <c r="G96" i="13"/>
  <c r="G95" i="13"/>
  <c r="G94" i="13"/>
  <c r="G93" i="13"/>
  <c r="G92" i="13"/>
  <c r="G91" i="13"/>
  <c r="G90" i="13"/>
  <c r="G89" i="13"/>
  <c r="G88" i="13"/>
  <c r="G87" i="13"/>
  <c r="G86" i="13"/>
  <c r="G85" i="13"/>
  <c r="G84" i="13"/>
  <c r="G83" i="13"/>
  <c r="G82" i="13"/>
  <c r="G81" i="13"/>
  <c r="G80" i="13"/>
  <c r="G79" i="13"/>
  <c r="G78" i="13"/>
  <c r="G77" i="13"/>
  <c r="G76" i="13"/>
  <c r="G75" i="13"/>
  <c r="G74" i="13"/>
  <c r="G73" i="13"/>
  <c r="G72" i="13"/>
  <c r="G71" i="13"/>
  <c r="G70" i="13"/>
  <c r="G69" i="13"/>
  <c r="G68" i="13"/>
  <c r="G67" i="13"/>
  <c r="G66" i="13"/>
  <c r="G65" i="13"/>
  <c r="G64" i="13"/>
  <c r="G63" i="13"/>
  <c r="G62" i="13"/>
  <c r="G61" i="13"/>
  <c r="G60" i="13"/>
  <c r="G59" i="13"/>
  <c r="G58" i="13"/>
  <c r="G57" i="13"/>
  <c r="G56" i="13"/>
  <c r="G55" i="13"/>
  <c r="G54" i="13"/>
  <c r="G53" i="13"/>
  <c r="G52" i="13"/>
  <c r="G51" i="13"/>
  <c r="G50" i="13"/>
  <c r="G49" i="13"/>
  <c r="G48" i="13"/>
  <c r="G47" i="13"/>
  <c r="G46" i="13"/>
  <c r="G45" i="13"/>
  <c r="G44" i="13"/>
  <c r="G43" i="13"/>
  <c r="G42" i="13"/>
  <c r="G41" i="13"/>
  <c r="G40" i="13"/>
  <c r="G39" i="13"/>
  <c r="G38" i="13"/>
  <c r="G37" i="13"/>
  <c r="G36" i="13"/>
  <c r="G35" i="13"/>
  <c r="G34" i="13"/>
  <c r="G33" i="13"/>
  <c r="G32" i="13"/>
  <c r="G31" i="13"/>
  <c r="G30" i="13"/>
  <c r="G29" i="13"/>
  <c r="G28" i="13"/>
  <c r="G27" i="13"/>
  <c r="G26" i="13"/>
  <c r="G25" i="13"/>
  <c r="G24" i="13"/>
  <c r="G23" i="13"/>
  <c r="G22" i="13"/>
  <c r="G21" i="13"/>
  <c r="G20" i="13"/>
  <c r="G19" i="13"/>
  <c r="G18" i="13"/>
  <c r="G17" i="13"/>
  <c r="G16" i="13"/>
  <c r="G15" i="13"/>
  <c r="G14" i="13"/>
  <c r="G13" i="13"/>
  <c r="G12" i="13"/>
  <c r="G11" i="13"/>
  <c r="G10" i="13"/>
  <c r="G9" i="13"/>
  <c r="G8" i="13"/>
  <c r="G7" i="13"/>
  <c r="G6" i="13"/>
  <c r="G5" i="13"/>
  <c r="G4" i="13"/>
  <c r="G3" i="13"/>
  <c r="J152" i="11" l="1"/>
  <c r="J151" i="11"/>
  <c r="J150" i="11"/>
  <c r="J149" i="11"/>
  <c r="J148" i="11"/>
  <c r="J147" i="11"/>
  <c r="J146" i="11"/>
  <c r="J145" i="11"/>
  <c r="J144" i="11"/>
  <c r="J143" i="11"/>
  <c r="J142" i="11"/>
  <c r="J141" i="11"/>
  <c r="J140" i="11"/>
  <c r="J139" i="11"/>
  <c r="J138" i="11"/>
  <c r="J137" i="11"/>
  <c r="J136" i="11"/>
  <c r="J135" i="11"/>
  <c r="J134" i="11"/>
  <c r="J133" i="11"/>
  <c r="J132" i="11"/>
  <c r="J131" i="11"/>
  <c r="J130" i="11"/>
  <c r="J129" i="11"/>
  <c r="J128" i="11"/>
  <c r="J127" i="11"/>
  <c r="J126" i="11"/>
  <c r="J125" i="11"/>
  <c r="J124" i="11"/>
  <c r="J123" i="11"/>
  <c r="J122" i="11"/>
  <c r="J121" i="11"/>
  <c r="J120" i="11"/>
  <c r="J119" i="11"/>
  <c r="J118" i="11"/>
  <c r="J117" i="11"/>
  <c r="J116" i="11"/>
  <c r="J115" i="11"/>
  <c r="J114" i="11"/>
  <c r="J113" i="11"/>
  <c r="J112" i="11"/>
  <c r="J111" i="11"/>
  <c r="J110" i="11"/>
  <c r="J109" i="11"/>
  <c r="J108" i="11"/>
  <c r="J107" i="11"/>
  <c r="J106" i="11"/>
  <c r="J105" i="11"/>
  <c r="J104" i="11"/>
  <c r="J103" i="11"/>
  <c r="J102" i="11"/>
  <c r="J101" i="11"/>
  <c r="J100" i="11"/>
  <c r="J99" i="11"/>
  <c r="J98" i="11"/>
  <c r="J97" i="11"/>
  <c r="J96" i="11"/>
  <c r="J95" i="11"/>
  <c r="J94" i="11"/>
  <c r="J93" i="11"/>
  <c r="J92" i="11"/>
  <c r="J91" i="11"/>
  <c r="J90" i="11"/>
  <c r="J89" i="11"/>
  <c r="J88" i="11"/>
  <c r="J87" i="11"/>
  <c r="J86" i="11"/>
  <c r="J85" i="11"/>
  <c r="J84" i="11"/>
  <c r="J83" i="11"/>
  <c r="J82" i="11"/>
  <c r="J81" i="11"/>
  <c r="J80" i="11"/>
  <c r="J79" i="11"/>
  <c r="J78" i="11"/>
  <c r="J77" i="11"/>
  <c r="J76" i="11"/>
  <c r="J75" i="11"/>
  <c r="J74" i="11"/>
  <c r="J73" i="11"/>
  <c r="J72" i="11"/>
  <c r="J71" i="11"/>
  <c r="J70" i="11"/>
  <c r="J69" i="11"/>
  <c r="J68" i="11"/>
  <c r="J67" i="11"/>
  <c r="J66" i="11"/>
  <c r="J65" i="11"/>
  <c r="J64" i="11"/>
  <c r="J63" i="11"/>
  <c r="J62" i="11"/>
  <c r="J61" i="11"/>
  <c r="J60" i="11"/>
  <c r="J59" i="11"/>
  <c r="J58" i="11"/>
  <c r="J57" i="11"/>
  <c r="J56" i="11"/>
  <c r="J55" i="11"/>
  <c r="J54" i="11"/>
  <c r="J53" i="11"/>
  <c r="J52" i="11"/>
  <c r="J51" i="11"/>
  <c r="J50" i="11"/>
  <c r="J49" i="11"/>
  <c r="J48" i="11"/>
  <c r="J47" i="11"/>
  <c r="J46" i="11"/>
  <c r="J45" i="11"/>
  <c r="J44" i="11"/>
  <c r="J43" i="11"/>
  <c r="J42" i="11"/>
  <c r="J41" i="11"/>
  <c r="J40" i="11"/>
  <c r="J39" i="11"/>
  <c r="J38" i="11"/>
  <c r="J37" i="11"/>
  <c r="J36" i="11"/>
  <c r="J35" i="11"/>
  <c r="J34" i="11"/>
  <c r="J33" i="11"/>
  <c r="J32" i="11"/>
  <c r="J31" i="11"/>
  <c r="J30" i="11"/>
  <c r="J29" i="11"/>
  <c r="J28" i="11"/>
  <c r="J27" i="11"/>
  <c r="J26" i="11"/>
  <c r="J25" i="11"/>
  <c r="J24" i="11"/>
  <c r="J23" i="11"/>
  <c r="J22" i="11"/>
  <c r="J21" i="11"/>
  <c r="J20" i="11"/>
  <c r="J19" i="11"/>
  <c r="J18" i="11"/>
  <c r="J17" i="11"/>
  <c r="J16" i="11"/>
  <c r="J15" i="11"/>
  <c r="J14" i="11"/>
  <c r="J13" i="11"/>
  <c r="J12" i="11"/>
  <c r="J11" i="11"/>
  <c r="J10" i="11"/>
  <c r="J9" i="11"/>
  <c r="J8" i="11"/>
  <c r="J7" i="11"/>
  <c r="J6" i="11"/>
  <c r="J5" i="11"/>
  <c r="J4" i="11"/>
  <c r="J3" i="11"/>
  <c r="J152" i="10"/>
  <c r="J151" i="10"/>
  <c r="J150" i="10"/>
  <c r="J149" i="10"/>
  <c r="J148" i="10"/>
  <c r="J147" i="10"/>
  <c r="J146" i="10"/>
  <c r="J145" i="10"/>
  <c r="J144" i="10"/>
  <c r="J143" i="10"/>
  <c r="J142" i="10"/>
  <c r="J141" i="10"/>
  <c r="J140" i="10"/>
  <c r="J139" i="10"/>
  <c r="J138" i="10"/>
  <c r="J137" i="10"/>
  <c r="J136" i="10"/>
  <c r="J135" i="10"/>
  <c r="J134" i="10"/>
  <c r="J133" i="10"/>
  <c r="J132" i="10"/>
  <c r="J131" i="10"/>
  <c r="J130" i="10"/>
  <c r="J129" i="10"/>
  <c r="J128" i="10"/>
  <c r="J127" i="10"/>
  <c r="J126" i="10"/>
  <c r="J125" i="10"/>
  <c r="J124" i="10"/>
  <c r="J123" i="10"/>
  <c r="J122" i="10"/>
  <c r="J121" i="10"/>
  <c r="J120" i="10"/>
  <c r="J119" i="10"/>
  <c r="J118" i="10"/>
  <c r="J117" i="10"/>
  <c r="J116" i="10"/>
  <c r="J115" i="10"/>
  <c r="J114" i="10"/>
  <c r="J113" i="10"/>
  <c r="J112" i="10"/>
  <c r="J111" i="10"/>
  <c r="J110" i="10"/>
  <c r="J109" i="10"/>
  <c r="J108" i="10"/>
  <c r="J107" i="10"/>
  <c r="J106" i="10"/>
  <c r="J105" i="10"/>
  <c r="J104" i="10"/>
  <c r="J103" i="10"/>
  <c r="J102" i="10"/>
  <c r="J101" i="10"/>
  <c r="J100" i="10"/>
  <c r="J99" i="10"/>
  <c r="J98" i="10"/>
  <c r="J97" i="10"/>
  <c r="J96" i="10"/>
  <c r="J95" i="10"/>
  <c r="J94" i="10"/>
  <c r="J93" i="10"/>
  <c r="J92" i="10"/>
  <c r="J91" i="10"/>
  <c r="J90" i="10"/>
  <c r="J89" i="10"/>
  <c r="J88" i="10"/>
  <c r="J87" i="10"/>
  <c r="J86" i="10"/>
  <c r="J85" i="10"/>
  <c r="J84" i="10"/>
  <c r="J83" i="10"/>
  <c r="J82" i="10"/>
  <c r="J81" i="10"/>
  <c r="J80" i="10"/>
  <c r="J79" i="10"/>
  <c r="J78" i="10"/>
  <c r="J77" i="10"/>
  <c r="J76" i="10"/>
  <c r="J75" i="10"/>
  <c r="J74" i="10"/>
  <c r="J73" i="10"/>
  <c r="J72" i="10"/>
  <c r="J71" i="10"/>
  <c r="J70" i="10"/>
  <c r="J69" i="10"/>
  <c r="J68" i="10"/>
  <c r="J67" i="10"/>
  <c r="J66" i="10"/>
  <c r="J65" i="10"/>
  <c r="J64" i="10"/>
  <c r="J63" i="10"/>
  <c r="J62" i="10"/>
  <c r="J61" i="10"/>
  <c r="J60" i="10"/>
  <c r="J59" i="10"/>
  <c r="J58" i="10"/>
  <c r="J57" i="10"/>
  <c r="J56" i="10"/>
  <c r="J55" i="10"/>
  <c r="J54" i="10"/>
  <c r="J53" i="10"/>
  <c r="J52" i="10"/>
  <c r="J51" i="10"/>
  <c r="J50" i="10"/>
  <c r="J49" i="10"/>
  <c r="J48" i="10"/>
  <c r="J47" i="10"/>
  <c r="J46" i="10"/>
  <c r="J45" i="10"/>
  <c r="J44" i="10"/>
  <c r="J43" i="10"/>
  <c r="J42" i="10"/>
  <c r="J41" i="10"/>
  <c r="J40" i="10"/>
  <c r="J39" i="10"/>
  <c r="J38" i="10"/>
  <c r="J37" i="10"/>
  <c r="J36" i="10"/>
  <c r="J35" i="10"/>
  <c r="J34" i="10"/>
  <c r="J33" i="10"/>
  <c r="J32" i="10"/>
  <c r="J31" i="10"/>
  <c r="J30" i="10"/>
  <c r="J29" i="10"/>
  <c r="J28" i="10"/>
  <c r="J27" i="10"/>
  <c r="J26" i="10"/>
  <c r="J25" i="10"/>
  <c r="J24" i="10"/>
  <c r="J23" i="10"/>
  <c r="J22" i="10"/>
  <c r="J21" i="10"/>
  <c r="J20" i="10"/>
  <c r="J19" i="10"/>
  <c r="J18" i="10"/>
  <c r="J17" i="10"/>
  <c r="J16" i="10"/>
  <c r="J15" i="10"/>
  <c r="J14" i="10"/>
  <c r="J13" i="10"/>
  <c r="J12" i="10"/>
  <c r="J11" i="10"/>
  <c r="J10" i="10"/>
  <c r="J9" i="10"/>
  <c r="J8" i="10"/>
  <c r="J7" i="10"/>
  <c r="J6" i="10"/>
  <c r="J5" i="10"/>
  <c r="J4" i="10"/>
  <c r="J3" i="10"/>
  <c r="N13" i="5"/>
  <c r="N11" i="5"/>
  <c r="N9" i="5"/>
  <c r="J152" i="5"/>
  <c r="J151" i="5"/>
  <c r="J150" i="5"/>
  <c r="J149" i="5"/>
  <c r="J148" i="5"/>
  <c r="J147" i="5"/>
  <c r="J146" i="5"/>
  <c r="J145" i="5"/>
  <c r="J144" i="5"/>
  <c r="J143" i="5"/>
  <c r="J142" i="5"/>
  <c r="J141" i="5"/>
  <c r="J140" i="5"/>
  <c r="J139" i="5"/>
  <c r="J138" i="5"/>
  <c r="J137" i="5"/>
  <c r="J136" i="5"/>
  <c r="J135" i="5"/>
  <c r="J134" i="5"/>
  <c r="J133" i="5"/>
  <c r="J132" i="5"/>
  <c r="J131" i="5"/>
  <c r="J130" i="5"/>
  <c r="J129" i="5"/>
  <c r="J128" i="5"/>
  <c r="J127" i="5"/>
  <c r="J126" i="5"/>
  <c r="J125" i="5"/>
  <c r="J124" i="5"/>
  <c r="J123" i="5"/>
  <c r="J122" i="5"/>
  <c r="J121" i="5"/>
  <c r="J120" i="5"/>
  <c r="J119" i="5"/>
  <c r="J118" i="5"/>
  <c r="J117" i="5"/>
  <c r="J116" i="5"/>
  <c r="J115" i="5"/>
  <c r="J114" i="5"/>
  <c r="J113" i="5"/>
  <c r="J112" i="5"/>
  <c r="J111" i="5"/>
  <c r="J110" i="5"/>
  <c r="J109" i="5"/>
  <c r="J108" i="5"/>
  <c r="J107" i="5"/>
  <c r="J106" i="5"/>
  <c r="J105" i="5"/>
  <c r="J104" i="5"/>
  <c r="J103" i="5"/>
  <c r="J102" i="5"/>
  <c r="J101" i="5"/>
  <c r="J100" i="5"/>
  <c r="J99" i="5"/>
  <c r="J98" i="5"/>
  <c r="J97" i="5"/>
  <c r="J96" i="5"/>
  <c r="J95" i="5"/>
  <c r="J94" i="5"/>
  <c r="J93" i="5"/>
  <c r="J92" i="5"/>
  <c r="J91" i="5"/>
  <c r="J90" i="5"/>
  <c r="J89" i="5"/>
  <c r="J88" i="5"/>
  <c r="J87" i="5"/>
  <c r="J86" i="5"/>
  <c r="J85" i="5"/>
  <c r="J84" i="5"/>
  <c r="J83" i="5"/>
  <c r="J82" i="5"/>
  <c r="J81" i="5"/>
  <c r="J80" i="5"/>
  <c r="J79" i="5"/>
  <c r="J78" i="5"/>
  <c r="J77" i="5"/>
  <c r="J76" i="5"/>
  <c r="J75" i="5"/>
  <c r="J74" i="5"/>
  <c r="J73" i="5"/>
  <c r="J72" i="5"/>
  <c r="J71" i="5"/>
  <c r="J70" i="5"/>
  <c r="J69" i="5"/>
  <c r="J68" i="5"/>
  <c r="J67" i="5"/>
  <c r="J66" i="5"/>
  <c r="J65" i="5"/>
  <c r="J64" i="5"/>
  <c r="J63" i="5"/>
  <c r="J62" i="5"/>
  <c r="J61" i="5"/>
  <c r="J60" i="5"/>
  <c r="J59" i="5"/>
  <c r="J58" i="5"/>
  <c r="J57" i="5"/>
  <c r="J56" i="5"/>
  <c r="J55" i="5"/>
  <c r="J54" i="5"/>
  <c r="J53" i="5"/>
  <c r="J52" i="5"/>
  <c r="J51" i="5"/>
  <c r="J50" i="5"/>
  <c r="J49" i="5"/>
  <c r="J48" i="5"/>
  <c r="J47" i="5"/>
  <c r="J46" i="5"/>
  <c r="J45" i="5"/>
  <c r="J44" i="5"/>
  <c r="J43" i="5"/>
  <c r="J42" i="5"/>
  <c r="J41" i="5"/>
  <c r="J40" i="5"/>
  <c r="J39" i="5"/>
  <c r="J38" i="5"/>
  <c r="J37" i="5"/>
  <c r="J36" i="5"/>
  <c r="J35" i="5"/>
  <c r="J34" i="5"/>
  <c r="J33" i="5"/>
  <c r="J32" i="5"/>
  <c r="J31" i="5"/>
  <c r="J30" i="5"/>
  <c r="J29" i="5"/>
  <c r="J28" i="5"/>
  <c r="J27" i="5"/>
  <c r="J26" i="5"/>
  <c r="J25" i="5"/>
  <c r="J24" i="5"/>
  <c r="J23" i="5"/>
  <c r="J22" i="5"/>
  <c r="J21" i="5"/>
  <c r="J20" i="5"/>
  <c r="J19" i="5"/>
  <c r="J18" i="5"/>
  <c r="J17" i="5"/>
  <c r="J16" i="5"/>
  <c r="J15" i="5"/>
  <c r="J14" i="5"/>
  <c r="J13" i="5"/>
  <c r="J12" i="5"/>
  <c r="J11" i="5"/>
  <c r="J10" i="5"/>
  <c r="J9" i="5"/>
  <c r="J8" i="5"/>
  <c r="J7" i="5"/>
  <c r="J6" i="5"/>
  <c r="J5" i="5"/>
  <c r="J4" i="5"/>
  <c r="J3" i="5"/>
  <c r="O12" i="6"/>
  <c r="O11" i="6"/>
  <c r="O10" i="6"/>
  <c r="O9" i="6"/>
  <c r="O8" i="6"/>
  <c r="O7" i="6"/>
  <c r="O6" i="6"/>
  <c r="J152" i="6"/>
  <c r="J151" i="6"/>
  <c r="J150" i="6"/>
  <c r="J149" i="6"/>
  <c r="J148" i="6"/>
  <c r="J147" i="6"/>
  <c r="J146" i="6"/>
  <c r="J145" i="6"/>
  <c r="J144" i="6"/>
  <c r="J143" i="6"/>
  <c r="J142" i="6"/>
  <c r="J141" i="6"/>
  <c r="J140" i="6"/>
  <c r="J139" i="6"/>
  <c r="J138" i="6"/>
  <c r="J137" i="6"/>
  <c r="J136" i="6"/>
  <c r="J135" i="6"/>
  <c r="J134" i="6"/>
  <c r="J133" i="6"/>
  <c r="J132" i="6"/>
  <c r="J131" i="6"/>
  <c r="J130" i="6"/>
  <c r="J129" i="6"/>
  <c r="J128" i="6"/>
  <c r="J127" i="6"/>
  <c r="J126" i="6"/>
  <c r="J125" i="6"/>
  <c r="J124" i="6"/>
  <c r="J123" i="6"/>
  <c r="J122" i="6"/>
  <c r="J121" i="6"/>
  <c r="J120" i="6"/>
  <c r="J119" i="6"/>
  <c r="J118" i="6"/>
  <c r="J117" i="6"/>
  <c r="J116" i="6"/>
  <c r="J115" i="6"/>
  <c r="J114" i="6"/>
  <c r="J113" i="6"/>
  <c r="J112" i="6"/>
  <c r="J111" i="6"/>
  <c r="J110" i="6"/>
  <c r="J109" i="6"/>
  <c r="J108" i="6"/>
  <c r="J107" i="6"/>
  <c r="J106" i="6"/>
  <c r="J105" i="6"/>
  <c r="J104" i="6"/>
  <c r="J103" i="6"/>
  <c r="J102" i="6"/>
  <c r="J101" i="6"/>
  <c r="J100" i="6"/>
  <c r="J99" i="6"/>
  <c r="J98" i="6"/>
  <c r="J97" i="6"/>
  <c r="J96" i="6"/>
  <c r="J95" i="6"/>
  <c r="J94" i="6"/>
  <c r="J93" i="6"/>
  <c r="J92" i="6"/>
  <c r="J91" i="6"/>
  <c r="J90" i="6"/>
  <c r="J89" i="6"/>
  <c r="J88" i="6"/>
  <c r="J87" i="6"/>
  <c r="J86" i="6"/>
  <c r="J85" i="6"/>
  <c r="J84" i="6"/>
  <c r="J83" i="6"/>
  <c r="J82" i="6"/>
  <c r="J81" i="6"/>
  <c r="J80" i="6"/>
  <c r="J79" i="6"/>
  <c r="J78" i="6"/>
  <c r="J77" i="6"/>
  <c r="J76" i="6"/>
  <c r="J75" i="6"/>
  <c r="J74" i="6"/>
  <c r="J73" i="6"/>
  <c r="J72" i="6"/>
  <c r="J71" i="6"/>
  <c r="J70" i="6"/>
  <c r="J69" i="6"/>
  <c r="J68" i="6"/>
  <c r="J67" i="6"/>
  <c r="J66" i="6"/>
  <c r="J65" i="6"/>
  <c r="J64" i="6"/>
  <c r="J63" i="6"/>
  <c r="J62" i="6"/>
  <c r="J61" i="6"/>
  <c r="J60" i="6"/>
  <c r="J59" i="6"/>
  <c r="J58" i="6"/>
  <c r="J57" i="6"/>
  <c r="J56" i="6"/>
  <c r="J55" i="6"/>
  <c r="J54" i="6"/>
  <c r="J53" i="6"/>
  <c r="J52" i="6"/>
  <c r="J51" i="6"/>
  <c r="J50" i="6"/>
  <c r="J49" i="6"/>
  <c r="J48" i="6"/>
  <c r="J47" i="6"/>
  <c r="J46" i="6"/>
  <c r="J45" i="6"/>
  <c r="J44" i="6"/>
  <c r="J43" i="6"/>
  <c r="J42" i="6"/>
  <c r="J41" i="6"/>
  <c r="J40" i="6"/>
  <c r="J39" i="6"/>
  <c r="J38" i="6"/>
  <c r="J37" i="6"/>
  <c r="J36" i="6"/>
  <c r="J35" i="6"/>
  <c r="J34" i="6"/>
  <c r="J33" i="6"/>
  <c r="J32" i="6"/>
  <c r="J31" i="6"/>
  <c r="J30" i="6"/>
  <c r="J29" i="6"/>
  <c r="J28" i="6"/>
  <c r="J27" i="6"/>
  <c r="J26" i="6"/>
  <c r="J25" i="6"/>
  <c r="J24" i="6"/>
  <c r="J23" i="6"/>
  <c r="J22" i="6"/>
  <c r="J21" i="6"/>
  <c r="J20" i="6"/>
  <c r="J19" i="6"/>
  <c r="J18" i="6"/>
  <c r="J17" i="6"/>
  <c r="J16" i="6"/>
  <c r="J15" i="6"/>
  <c r="J14" i="6"/>
  <c r="J13" i="6"/>
  <c r="J12" i="6"/>
  <c r="J11" i="6"/>
  <c r="J10" i="6"/>
  <c r="J9" i="6"/>
  <c r="J8" i="6"/>
  <c r="J7" i="6"/>
  <c r="J6" i="6"/>
  <c r="J5" i="6"/>
  <c r="J4" i="6"/>
  <c r="J3" i="6"/>
  <c r="M13" i="3"/>
  <c r="L13" i="3"/>
  <c r="M11" i="3"/>
  <c r="L11" i="3"/>
  <c r="M9" i="3"/>
  <c r="L9" i="3"/>
  <c r="M7" i="3"/>
  <c r="L7" i="3"/>
  <c r="M5" i="3"/>
  <c r="L5"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6758151-D144-4C97-A731-82EC1736C356}" keepAlive="1" name="Query - Table111" description="Connection to the 'Table111' query in the workbook." type="5" refreshedVersion="8" background="1" saveData="1">
    <dbPr connection="Provider=Microsoft.Mashup.OleDb.1;Data Source=$Workbook$;Location=Table111;Extended Properties=&quot;&quot;" command="SELECT * FROM [Table111]"/>
  </connection>
  <connection id="2" xr16:uid="{8805B028-1DE8-4160-8FC8-5B1FDEFB98A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06C1080C-2519-40A3-9E3F-E065FFCE4D85}" name="WorksheetConnection_DAY-1 Formatting.xlsx!Table117[[Employee ID]:[Gender]]" type="102" refreshedVersion="8" minRefreshableVersion="5">
    <extLst>
      <ext xmlns:x15="http://schemas.microsoft.com/office/spreadsheetml/2010/11/main" uri="{DE250136-89BD-433C-8126-D09CA5730AF9}">
        <x15:connection id="Table117  Employee ID   Gender" autoDelete="1">
          <x15:rangePr sourceName="_xlcn.WorksheetConnection_DAY1Formatting.xlsxTable117EmployeeIDGender1"/>
        </x15:connection>
      </ext>
    </extLst>
  </connection>
  <connection id="4" xr16:uid="{3CE3907D-FA63-408F-800E-DF261E88E83C}" name="WorksheetConnection_INDEX +MATCH!$A$2:$H$152" type="102" refreshedVersion="8" minRefreshableVersion="5">
    <extLst>
      <ext xmlns:x15="http://schemas.microsoft.com/office/spreadsheetml/2010/11/main" uri="{DE250136-89BD-433C-8126-D09CA5730AF9}">
        <x15:connection id="Range" autoDelete="1">
          <x15:rangePr sourceName="_xlcn.WorksheetConnection_INDEXMATCHA2H1521"/>
        </x15:connection>
      </ext>
    </extLst>
  </connection>
  <connection id="5" xr16:uid="{87FB1D71-BD88-474C-BDF3-9958C494A249}" name="WorksheetConnection_Orginal data!$A$2:$H$152" type="102" refreshedVersion="8" minRefreshableVersion="5">
    <extLst>
      <ext xmlns:x15="http://schemas.microsoft.com/office/spreadsheetml/2010/11/main" uri="{DE250136-89BD-433C-8126-D09CA5730AF9}">
        <x15:connection id="Range 2" autoDelete="1">
          <x15:rangePr sourceName="_xlcn.WorksheetConnection_OrginaldataA2H1521"/>
        </x15:connection>
      </ext>
    </extLst>
  </connection>
  <connection id="6" xr16:uid="{90BB444B-81C8-4A81-A489-33BB2132AC25}" name="WorksheetConnection_VLOOOKUP Duplicates!$A$2:$H$153" type="102" refreshedVersion="8" minRefreshableVersion="5">
    <extLst>
      <ext xmlns:x15="http://schemas.microsoft.com/office/spreadsheetml/2010/11/main" uri="{DE250136-89BD-433C-8126-D09CA5730AF9}">
        <x15:connection id="Range 1" autoDelete="1">
          <x15:rangePr sourceName="_xlcn.WorksheetConnection_VLOOOKUPDuplicatesA2H153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<sst xmlns="http://schemas.openxmlformats.org/spreadsheetml/2006/main" count="12109" uniqueCount="402">
  <si>
    <t>Employee ID</t>
  </si>
  <si>
    <t>Name</t>
  </si>
  <si>
    <t>Department</t>
  </si>
  <si>
    <t>Country</t>
  </si>
  <si>
    <t>Salary</t>
  </si>
  <si>
    <t>Date of Joining</t>
  </si>
  <si>
    <t>Performance Rating</t>
  </si>
  <si>
    <t>Gender</t>
  </si>
  <si>
    <t>Email</t>
  </si>
  <si>
    <t>EMP1000</t>
  </si>
  <si>
    <t>Finance</t>
  </si>
  <si>
    <t>N/A</t>
  </si>
  <si>
    <t>Unknown</t>
  </si>
  <si>
    <t>invalid_email</t>
  </si>
  <si>
    <t>EMP1001</t>
  </si>
  <si>
    <t>Eve Adams</t>
  </si>
  <si>
    <t>HR</t>
  </si>
  <si>
    <t>Germany</t>
  </si>
  <si>
    <t>Other</t>
  </si>
  <si>
    <t>user106@example.com</t>
  </si>
  <si>
    <t>EMP1002</t>
  </si>
  <si>
    <t>Alice Brown</t>
  </si>
  <si>
    <t>user176@example.com</t>
  </si>
  <si>
    <t>EMP1003</t>
  </si>
  <si>
    <t>John Doe</t>
  </si>
  <si>
    <t>Sales</t>
  </si>
  <si>
    <t>USA</t>
  </si>
  <si>
    <t>Male</t>
  </si>
  <si>
    <t>user168@example.com</t>
  </si>
  <si>
    <t>EMP1004</t>
  </si>
  <si>
    <t>Jane Smith</t>
  </si>
  <si>
    <t>user49@example.com</t>
  </si>
  <si>
    <t>EMP1005</t>
  </si>
  <si>
    <t>IT</t>
  </si>
  <si>
    <t>India</t>
  </si>
  <si>
    <t>Female</t>
  </si>
  <si>
    <t>user24@example.com</t>
  </si>
  <si>
    <t>EMP1006</t>
  </si>
  <si>
    <t>Sam Wilson</t>
  </si>
  <si>
    <t>EMP1007</t>
  </si>
  <si>
    <t>Chris Lee</t>
  </si>
  <si>
    <t>Marketing</t>
  </si>
  <si>
    <t>user26@example.com</t>
  </si>
  <si>
    <t>EMP1008</t>
  </si>
  <si>
    <t>user25@example.com</t>
  </si>
  <si>
    <t>EMP1009</t>
  </si>
  <si>
    <t>UK</t>
  </si>
  <si>
    <t>user153@example.com</t>
  </si>
  <si>
    <t>EMP1010</t>
  </si>
  <si>
    <t>user18@example.com</t>
  </si>
  <si>
    <t>EMP1011</t>
  </si>
  <si>
    <t>user1@example.com</t>
  </si>
  <si>
    <t>EMP1012</t>
  </si>
  <si>
    <t>Bob Johnson</t>
  </si>
  <si>
    <t>EMP1013</t>
  </si>
  <si>
    <t>user180@example.com</t>
  </si>
  <si>
    <t>EMP1014</t>
  </si>
  <si>
    <t>user184@example.com</t>
  </si>
  <si>
    <t>EMP1015</t>
  </si>
  <si>
    <t>user3@example.com</t>
  </si>
  <si>
    <t>EMP1016</t>
  </si>
  <si>
    <t>user64@example.com</t>
  </si>
  <si>
    <t>EMP1017</t>
  </si>
  <si>
    <t>Australia</t>
  </si>
  <si>
    <t>user38@example.com</t>
  </si>
  <si>
    <t>EMP1018</t>
  </si>
  <si>
    <t>user96@example.com</t>
  </si>
  <si>
    <t>EMP1019</t>
  </si>
  <si>
    <t>user151@example.com</t>
  </si>
  <si>
    <t>EMP1020</t>
  </si>
  <si>
    <t>user200@example.com</t>
  </si>
  <si>
    <t>EMP1021</t>
  </si>
  <si>
    <t>user77@example.com</t>
  </si>
  <si>
    <t>EMP1022</t>
  </si>
  <si>
    <t>user128@example.com</t>
  </si>
  <si>
    <t>EMP1023</t>
  </si>
  <si>
    <t>user149@example.com</t>
  </si>
  <si>
    <t>EMP1024</t>
  </si>
  <si>
    <t>user122@example.com</t>
  </si>
  <si>
    <t>EMP1025</t>
  </si>
  <si>
    <t>user41@example.com</t>
  </si>
  <si>
    <t>EMP1026</t>
  </si>
  <si>
    <t>user68@example.com</t>
  </si>
  <si>
    <t>EMP1027</t>
  </si>
  <si>
    <t>user103@example.com</t>
  </si>
  <si>
    <t>EMP1028</t>
  </si>
  <si>
    <t>user135@example.com</t>
  </si>
  <si>
    <t>EMP1029</t>
  </si>
  <si>
    <t>user83@example.com</t>
  </si>
  <si>
    <t>EMP1030</t>
  </si>
  <si>
    <t>user109@example.com</t>
  </si>
  <si>
    <t>EMP1031</t>
  </si>
  <si>
    <t>user143@example.com</t>
  </si>
  <si>
    <t>EMP1032</t>
  </si>
  <si>
    <t>user190@example.com</t>
  </si>
  <si>
    <t>EMP1033</t>
  </si>
  <si>
    <t>user136@example.com</t>
  </si>
  <si>
    <t>EMP1034</t>
  </si>
  <si>
    <t>user198@example.com</t>
  </si>
  <si>
    <t>EMP1035</t>
  </si>
  <si>
    <t>EMP1036</t>
  </si>
  <si>
    <t>user31@example.com</t>
  </si>
  <si>
    <t>EMP1037</t>
  </si>
  <si>
    <t>user98@example.com</t>
  </si>
  <si>
    <t>EMP1038</t>
  </si>
  <si>
    <t>user154@example.com</t>
  </si>
  <si>
    <t>EMP1039</t>
  </si>
  <si>
    <t>user42@example.com</t>
  </si>
  <si>
    <t>EMP1040</t>
  </si>
  <si>
    <t>user89@example.com</t>
  </si>
  <si>
    <t>EMP1041</t>
  </si>
  <si>
    <t>user47@example.com</t>
  </si>
  <si>
    <t>EMP1042</t>
  </si>
  <si>
    <t>user175@example.com</t>
  </si>
  <si>
    <t>EMP1043</t>
  </si>
  <si>
    <t>user57@example.com</t>
  </si>
  <si>
    <t>EMP1044</t>
  </si>
  <si>
    <t>user20@example.com</t>
  </si>
  <si>
    <t>EMP1045</t>
  </si>
  <si>
    <t>EMP1046</t>
  </si>
  <si>
    <t>user199@example.com</t>
  </si>
  <si>
    <t>EMP1047</t>
  </si>
  <si>
    <t>user43@example.com</t>
  </si>
  <si>
    <t>EMP1048</t>
  </si>
  <si>
    <t>EMP1049</t>
  </si>
  <si>
    <t>EMP1050</t>
  </si>
  <si>
    <t>user95@example.com</t>
  </si>
  <si>
    <t>EMP1051</t>
  </si>
  <si>
    <t>user59@example.com</t>
  </si>
  <si>
    <t>EMP1052</t>
  </si>
  <si>
    <t>user152@example.com</t>
  </si>
  <si>
    <t>EMP1053</t>
  </si>
  <si>
    <t>EMP1054</t>
  </si>
  <si>
    <t>user92@example.com</t>
  </si>
  <si>
    <t>EMP1055</t>
  </si>
  <si>
    <t>user50@example.com</t>
  </si>
  <si>
    <t>EMP1056</t>
  </si>
  <si>
    <t>user63@example.com</t>
  </si>
  <si>
    <t>EMP1057</t>
  </si>
  <si>
    <t>EMP1058</t>
  </si>
  <si>
    <t>user150@example.com</t>
  </si>
  <si>
    <t>EMP1059</t>
  </si>
  <si>
    <t>EMP1060</t>
  </si>
  <si>
    <t>user112@example.com</t>
  </si>
  <si>
    <t>EMP1061</t>
  </si>
  <si>
    <t>EMP1062</t>
  </si>
  <si>
    <t>user71@example.com</t>
  </si>
  <si>
    <t>EMP1063</t>
  </si>
  <si>
    <t>user97@example.com</t>
  </si>
  <si>
    <t>EMP1064</t>
  </si>
  <si>
    <t>user141@example.com</t>
  </si>
  <si>
    <t>EMP1065</t>
  </si>
  <si>
    <t>user125@example.com</t>
  </si>
  <si>
    <t>EMP1066</t>
  </si>
  <si>
    <t>user90@example.com</t>
  </si>
  <si>
    <t>EMP1067</t>
  </si>
  <si>
    <t>user192@example.com</t>
  </si>
  <si>
    <t>EMP1068</t>
  </si>
  <si>
    <t>EMP1069</t>
  </si>
  <si>
    <t>user65@example.com</t>
  </si>
  <si>
    <t>EMP1070</t>
  </si>
  <si>
    <t>EMP1071</t>
  </si>
  <si>
    <t>user142@example.com</t>
  </si>
  <si>
    <t>EMP1072</t>
  </si>
  <si>
    <t>EMP1073</t>
  </si>
  <si>
    <t>EMP1074</t>
  </si>
  <si>
    <t>EMP1075</t>
  </si>
  <si>
    <t>user17@example.com</t>
  </si>
  <si>
    <t>EMP1076</t>
  </si>
  <si>
    <t>EMP1077</t>
  </si>
  <si>
    <t>user22@example.com</t>
  </si>
  <si>
    <t>EMP1078</t>
  </si>
  <si>
    <t>user46@example.com</t>
  </si>
  <si>
    <t>EMP1079</t>
  </si>
  <si>
    <t>user55@example.com</t>
  </si>
  <si>
    <t>EMP1080</t>
  </si>
  <si>
    <t>EMP1081</t>
  </si>
  <si>
    <t>user156@example.com</t>
  </si>
  <si>
    <t>EMP1082</t>
  </si>
  <si>
    <t>user104@example.com</t>
  </si>
  <si>
    <t>EMP1083</t>
  </si>
  <si>
    <t>user145@example.com</t>
  </si>
  <si>
    <t>EMP1084</t>
  </si>
  <si>
    <t>EMP1085</t>
  </si>
  <si>
    <t>user197@example.com</t>
  </si>
  <si>
    <t>EMP1086</t>
  </si>
  <si>
    <t>user177@example.com</t>
  </si>
  <si>
    <t>EMP1087</t>
  </si>
  <si>
    <t>EMP1088</t>
  </si>
  <si>
    <t>user48@example.com</t>
  </si>
  <si>
    <t>EMP1089</t>
  </si>
  <si>
    <t>EMP1090</t>
  </si>
  <si>
    <t>EMP1091</t>
  </si>
  <si>
    <t>EMP1092</t>
  </si>
  <si>
    <t>EMP1093</t>
  </si>
  <si>
    <t>user102@example.com</t>
  </si>
  <si>
    <t>EMP1094</t>
  </si>
  <si>
    <t>user148@example.com</t>
  </si>
  <si>
    <t>EMP1095</t>
  </si>
  <si>
    <t>user155@example.com</t>
  </si>
  <si>
    <t>EMP1096</t>
  </si>
  <si>
    <t>user191@example.com</t>
  </si>
  <si>
    <t>EMP1097</t>
  </si>
  <si>
    <t>user113@example.com</t>
  </si>
  <si>
    <t>EMP1098</t>
  </si>
  <si>
    <t>user62@example.com</t>
  </si>
  <si>
    <t>EMP1099</t>
  </si>
  <si>
    <t>user76@example.com</t>
  </si>
  <si>
    <t>EMP1100</t>
  </si>
  <si>
    <t>user40@example.com</t>
  </si>
  <si>
    <t>EMP1101</t>
  </si>
  <si>
    <t>EMP1102</t>
  </si>
  <si>
    <t>user54@example.com</t>
  </si>
  <si>
    <t>EMP1103</t>
  </si>
  <si>
    <t>EMP1104</t>
  </si>
  <si>
    <t>EMP1105</t>
  </si>
  <si>
    <t>EMP1106</t>
  </si>
  <si>
    <t>user189@example.com</t>
  </si>
  <si>
    <t>EMP1107</t>
  </si>
  <si>
    <t>EMP1108</t>
  </si>
  <si>
    <t>user93@example.com</t>
  </si>
  <si>
    <t>EMP1109</t>
  </si>
  <si>
    <t>user174@example.com</t>
  </si>
  <si>
    <t>EMP1110</t>
  </si>
  <si>
    <t>user44@example.com</t>
  </si>
  <si>
    <t>EMP1111</t>
  </si>
  <si>
    <t>EMP1112</t>
  </si>
  <si>
    <t>EMP1113</t>
  </si>
  <si>
    <t>user82@example.com</t>
  </si>
  <si>
    <t>EMP1114</t>
  </si>
  <si>
    <t>EMP1115</t>
  </si>
  <si>
    <t>EMP1116</t>
  </si>
  <si>
    <t>EMP1117</t>
  </si>
  <si>
    <t>user137@example.com</t>
  </si>
  <si>
    <t>EMP1118</t>
  </si>
  <si>
    <t>user23@example.com</t>
  </si>
  <si>
    <t>EMP1119</t>
  </si>
  <si>
    <t>EMP1120</t>
  </si>
  <si>
    <t>user101@example.com</t>
  </si>
  <si>
    <t>EMP1121</t>
  </si>
  <si>
    <t>user132@example.com</t>
  </si>
  <si>
    <t>EMP1122</t>
  </si>
  <si>
    <t>user171@example.com</t>
  </si>
  <si>
    <t>EMP1123</t>
  </si>
  <si>
    <t>EMP1124</t>
  </si>
  <si>
    <t>user75@example.com</t>
  </si>
  <si>
    <t>EMP1125</t>
  </si>
  <si>
    <t>user52@example.com</t>
  </si>
  <si>
    <t>EMP1126</t>
  </si>
  <si>
    <t>user100@example.com</t>
  </si>
  <si>
    <t>EMP1127</t>
  </si>
  <si>
    <t>EMP1128</t>
  </si>
  <si>
    <t>user167@example.com</t>
  </si>
  <si>
    <t>EMP1129</t>
  </si>
  <si>
    <t>EMP1130</t>
  </si>
  <si>
    <t>EMP1131</t>
  </si>
  <si>
    <t>EMP1132</t>
  </si>
  <si>
    <t>user188@example.com</t>
  </si>
  <si>
    <t>EMP1133</t>
  </si>
  <si>
    <t>EMP1134</t>
  </si>
  <si>
    <t>EMP1135</t>
  </si>
  <si>
    <t>EMP1136</t>
  </si>
  <si>
    <t>EMP1137</t>
  </si>
  <si>
    <t>user165@example.com</t>
  </si>
  <si>
    <t>EMP1138</t>
  </si>
  <si>
    <t>EMP1139</t>
  </si>
  <si>
    <t>EMP1140</t>
  </si>
  <si>
    <t>EMP1141</t>
  </si>
  <si>
    <t>EMP1142</t>
  </si>
  <si>
    <t>EMP1143</t>
  </si>
  <si>
    <t>user114@example.com</t>
  </si>
  <si>
    <t>EMP1144</t>
  </si>
  <si>
    <t>user53@example.com</t>
  </si>
  <si>
    <t>EMP1145</t>
  </si>
  <si>
    <t>EMP1146</t>
  </si>
  <si>
    <t>EMP1147</t>
  </si>
  <si>
    <t>user163@example.com</t>
  </si>
  <si>
    <t>EMP1148</t>
  </si>
  <si>
    <t>EMP1149</t>
  </si>
  <si>
    <t>user30@example.com</t>
  </si>
  <si>
    <t>Metric</t>
  </si>
  <si>
    <t>Perfomance Rating</t>
  </si>
  <si>
    <t>Total</t>
  </si>
  <si>
    <t>Average</t>
  </si>
  <si>
    <t>Minimum</t>
  </si>
  <si>
    <t>Maximum</t>
  </si>
  <si>
    <t>Count</t>
  </si>
  <si>
    <t>Salary Category</t>
  </si>
  <si>
    <t>Conditional Formulas</t>
  </si>
  <si>
    <t>Condition Name</t>
  </si>
  <si>
    <t>Description</t>
  </si>
  <si>
    <t>Formula Used</t>
  </si>
  <si>
    <t>Result</t>
  </si>
  <si>
    <t>High Salary Count</t>
  </si>
  <si>
    <t>Count employees with salary above 70,000</t>
  </si>
  <si>
    <t>COUNTIF</t>
  </si>
  <si>
    <t>Finance Salary Total</t>
  </si>
  <si>
    <t>Total salary of Finance employees</t>
  </si>
  <si>
    <t>SUMIF</t>
  </si>
  <si>
    <t>Sales Avg Rating</t>
  </si>
  <si>
    <t>Average performance rating for Sales department</t>
  </si>
  <si>
    <t>AVERAGEIF</t>
  </si>
  <si>
    <t>DAY 5 – Text Cleaning with Excel Functions</t>
  </si>
  <si>
    <t>Column Name</t>
  </si>
  <si>
    <t xml:space="preserve">Example </t>
  </si>
  <si>
    <t>PROPER</t>
  </si>
  <si>
    <t>UPPER()</t>
  </si>
  <si>
    <t>LOWER()</t>
  </si>
  <si>
    <t>LEFT()</t>
  </si>
  <si>
    <t>RIGHT()</t>
  </si>
  <si>
    <t>MID()</t>
  </si>
  <si>
    <t>TRIM()</t>
  </si>
  <si>
    <t>Remove extra spaces</t>
  </si>
  <si>
    <t>Extract middle characters</t>
  </si>
  <si>
    <t>Convert to UPPERCASE</t>
  </si>
  <si>
    <t>Convert to lowercase</t>
  </si>
  <si>
    <t>Extract left part of text</t>
  </si>
  <si>
    <t>Extract right part of text</t>
  </si>
  <si>
    <t>Convert  to proper case</t>
  </si>
  <si>
    <t>Check Performed</t>
  </si>
  <si>
    <t>Duplicate Check Columns</t>
  </si>
  <si>
    <t>Employee ID, Email</t>
  </si>
  <si>
    <t>Duplicate Values Found</t>
  </si>
  <si>
    <t>0 duplicates</t>
  </si>
  <si>
    <t>Total Records Before Cleaning</t>
  </si>
  <si>
    <t>151 rows (example if this is your count)</t>
  </si>
  <si>
    <t>Total Records After Cleaning</t>
  </si>
  <si>
    <t>151 rows</t>
  </si>
  <si>
    <t>Notes</t>
  </si>
  <si>
    <t>No duplicates found. Data is unique and ready for next step.</t>
  </si>
  <si>
    <t>DAY-6 Finding and Removing Duplicates</t>
  </si>
  <si>
    <t>DAY-3  Summary Satistics</t>
  </si>
  <si>
    <t>DAY-1  Formatting</t>
  </si>
  <si>
    <t>DAY-2  Cleaning</t>
  </si>
  <si>
    <t>DAY-7  Power Query</t>
  </si>
  <si>
    <t>Day 7 – Power Query Cleaning Summary:</t>
  </si>
  <si>
    <t>✓ Trimmed and cleaned text columns</t>
  </si>
  <si>
    <t>✓ Validated and corrected Email field</t>
  </si>
  <si>
    <t>✓ Ensured correct data types for every column</t>
  </si>
  <si>
    <t>✓ Data loaded back with Power Query for auto-refresh capability</t>
  </si>
  <si>
    <t>✓ Empty values replaced with Unknown labels</t>
  </si>
  <si>
    <t>DAY-8  Conditional Formatting (Data Quality Check)</t>
  </si>
  <si>
    <t>Mean</t>
  </si>
  <si>
    <t>Standard Error</t>
  </si>
  <si>
    <t>Median</t>
  </si>
  <si>
    <t>Mode</t>
  </si>
  <si>
    <t>Standard Deviation</t>
  </si>
  <si>
    <t>Sample Variance</t>
  </si>
  <si>
    <t>Kurtosis</t>
  </si>
  <si>
    <t>Skewness</t>
  </si>
  <si>
    <t>Range</t>
  </si>
  <si>
    <t>Sum</t>
  </si>
  <si>
    <t>Descriptive statistics for salary</t>
  </si>
  <si>
    <t>DAY-9  Descriptive Statistics</t>
  </si>
  <si>
    <t>DAY-10  Filtering, Sorting &amp; Exploring Data</t>
  </si>
  <si>
    <t>DAY-4 Condition Formatting</t>
  </si>
  <si>
    <t>Rank</t>
  </si>
  <si>
    <t>TOP 5 Highest Salary</t>
  </si>
  <si>
    <t>TOP 5 Performance Rating</t>
  </si>
  <si>
    <t>DAY-11  Date &amp; Time Functions</t>
  </si>
  <si>
    <t>Joined Month</t>
  </si>
  <si>
    <t>DAY-12  Lookup &amp; Reference (VLOOKUP )</t>
  </si>
  <si>
    <t>Column1</t>
  </si>
  <si>
    <t>Column2</t>
  </si>
  <si>
    <t>Column3</t>
  </si>
  <si>
    <t>Column4</t>
  </si>
  <si>
    <t>Column5</t>
  </si>
  <si>
    <t>Column6</t>
  </si>
  <si>
    <t>Column7</t>
  </si>
  <si>
    <t>Column8</t>
  </si>
  <si>
    <t>DAY-12  VLOOKUP | Duplicate the Dataset</t>
  </si>
  <si>
    <t>DAY-13  INDEX + MATCH (Fill Missing Values)</t>
  </si>
  <si>
    <t>ENCODING</t>
  </si>
  <si>
    <t>MODE</t>
  </si>
  <si>
    <t>INDEX</t>
  </si>
  <si>
    <t>Visualization &amp; Dashboard Building</t>
  </si>
  <si>
    <t>Day 15 – Pivot Tables (Part 1)</t>
  </si>
  <si>
    <t>Row Labels</t>
  </si>
  <si>
    <t>Grand Total</t>
  </si>
  <si>
    <t>Count of Employee ID</t>
  </si>
  <si>
    <t>Sum of Salary</t>
  </si>
  <si>
    <t>Max of Performance Rating</t>
  </si>
  <si>
    <t>Count of Name</t>
  </si>
  <si>
    <t>Average of Salary</t>
  </si>
  <si>
    <t>April</t>
  </si>
  <si>
    <t>August</t>
  </si>
  <si>
    <t>December</t>
  </si>
  <si>
    <t>February</t>
  </si>
  <si>
    <t>January</t>
  </si>
  <si>
    <t>July</t>
  </si>
  <si>
    <t>June</t>
  </si>
  <si>
    <t>March</t>
  </si>
  <si>
    <t>May</t>
  </si>
  <si>
    <t>November</t>
  </si>
  <si>
    <t>October</t>
  </si>
  <si>
    <t>September</t>
  </si>
  <si>
    <t>Min of Salary</t>
  </si>
  <si>
    <t>DA-15  Pivot Tables (Part 2)</t>
  </si>
  <si>
    <t>*    The pivot table shows that the Marketing department has the highest number of employees, followed by sales and IT. This analysis helps us understand the basic distribution and summary of employee data.</t>
  </si>
  <si>
    <t>DAY-16  Charts &amp; Graphs (Part 1)</t>
  </si>
  <si>
    <t>Day 17 – Charts &amp; Graphs (Part 2)</t>
  </si>
  <si>
    <t xml:space="preserve">DAY-18   Dashboard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</si>
</sst>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4009]dd/mm/yyyy;@"/>
  </numFmts>
  <fonts count="22">
    <font>
      <sz val="11"/>
      <color theme="1"/>
      <name val="Aptos Narrow"/>
      <family val="2"/>
      <scheme val="minor"/>
    </font>
    <font>
      <b/>
      <sz val="11"/>
      <color theme="1"/>
      <name val="Calibri"/>
      <family val="2"/>
    </font>
    <font>
      <sz val="11"/>
      <color theme="1"/>
      <name val="Calibri"/>
      <family val="2"/>
    </font>
    <font>
      <b/>
      <sz val="11"/>
      <color theme="1"/>
      <name val="Aptos Narrow"/>
      <family val="2"/>
      <scheme val="minor"/>
    </font>
    <font>
      <b/>
      <sz val="11"/>
      <color theme="0"/>
      <name val="Calibri"/>
      <family val="2"/>
    </font>
    <font>
      <sz val="12"/>
      <color theme="1"/>
      <name val="Aptos Narrow"/>
      <family val="2"/>
      <scheme val="minor"/>
    </font>
    <font>
      <b/>
      <sz val="12"/>
      <color theme="0"/>
      <name val="Aptos Narrow"/>
      <family val="2"/>
      <scheme val="minor"/>
    </font>
    <font>
      <b/>
      <sz val="11"/>
      <color theme="1"/>
      <name val="Algerian"/>
      <family val="5"/>
    </font>
    <font>
      <b/>
      <sz val="11"/>
      <color theme="1"/>
      <name val="Arial Narrow"/>
      <family val="2"/>
    </font>
    <font>
      <b/>
      <sz val="11"/>
      <color theme="1"/>
      <name val="Arial Black"/>
      <family val="2"/>
    </font>
    <font>
      <sz val="10"/>
      <color theme="1"/>
      <name val="Arial Unicode MS"/>
    </font>
    <font>
      <b/>
      <sz val="11"/>
      <color theme="1"/>
      <name val="Arial"/>
      <family val="2"/>
    </font>
    <font>
      <sz val="12"/>
      <color theme="1"/>
      <name val="Arial Black"/>
      <family val="2"/>
    </font>
    <font>
      <b/>
      <sz val="14"/>
      <color theme="1"/>
      <name val="Arial Black"/>
      <family val="2"/>
    </font>
    <font>
      <sz val="14"/>
      <color theme="1"/>
      <name val="Arial Black"/>
      <family val="2"/>
    </font>
    <font>
      <i/>
      <sz val="12"/>
      <color theme="0"/>
      <name val="Aptos"/>
      <family val="2"/>
    </font>
    <font>
      <sz val="11"/>
      <color theme="0"/>
      <name val="Aptos Narrow"/>
      <family val="2"/>
      <scheme val="minor"/>
    </font>
    <font>
      <sz val="8"/>
      <name val="Aptos Narrow"/>
      <family val="2"/>
      <scheme val="minor"/>
    </font>
    <font>
      <sz val="18"/>
      <color theme="1"/>
      <name val="Arial Black"/>
      <family val="2"/>
    </font>
    <font>
      <b/>
      <sz val="14"/>
      <color theme="1"/>
      <name val="Arial"/>
      <family val="2"/>
    </font>
    <font>
      <sz val="11"/>
      <color theme="1"/>
      <name val="Arial"/>
      <family val="2"/>
    </font>
    <font>
      <sz val="18"/>
      <color theme="0"/>
      <name val="Arial Black"/>
      <family val="2"/>
    </font>
  </fonts>
  <fills count="27">
    <fill>
      <patternFill patternType="none"/>
    </fill>
    <fill>
      <patternFill patternType="gray125"/>
    </fill>
    <fill>
      <patternFill patternType="solid">
        <fgColor theme="3" tint="0.249977111117893"/>
        <bgColor indexed="64"/>
      </patternFill>
    </fill>
    <fill>
      <patternFill patternType="solid">
        <fgColor theme="3" tint="0.89999084444715716"/>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theme="3" tint="0.499984740745262"/>
        <bgColor indexed="64"/>
      </patternFill>
    </fill>
    <fill>
      <patternFill patternType="solid">
        <fgColor theme="5" tint="0.79998168889431442"/>
        <bgColor indexed="64"/>
      </patternFill>
    </fill>
    <fill>
      <patternFill patternType="solid">
        <fgColor theme="8" tint="0.59999389629810485"/>
        <bgColor indexed="64"/>
      </patternFill>
    </fill>
    <fill>
      <patternFill patternType="solid">
        <fgColor theme="2"/>
        <bgColor indexed="64"/>
      </patternFill>
    </fill>
    <fill>
      <patternFill patternType="solid">
        <fgColor theme="8" tint="0.79998168889431442"/>
        <bgColor indexed="64"/>
      </patternFill>
    </fill>
    <fill>
      <patternFill patternType="solid">
        <fgColor theme="3" tint="0.749992370372631"/>
        <bgColor indexed="64"/>
      </patternFill>
    </fill>
    <fill>
      <patternFill patternType="solid">
        <fgColor theme="0" tint="-0.14999847407452621"/>
        <bgColor indexed="64"/>
      </patternFill>
    </fill>
    <fill>
      <patternFill patternType="solid">
        <fgColor theme="5" tint="-0.249977111117893"/>
        <bgColor indexed="64"/>
      </patternFill>
    </fill>
    <fill>
      <patternFill patternType="solid">
        <fgColor theme="4" tint="0.79998168889431442"/>
        <bgColor indexed="64"/>
      </patternFill>
    </fill>
    <fill>
      <patternFill patternType="solid">
        <fgColor theme="6" tint="0.59999389629810485"/>
        <bgColor indexed="64"/>
      </patternFill>
    </fill>
    <fill>
      <patternFill patternType="solid">
        <fgColor theme="9" tint="0.39997558519241921"/>
        <bgColor indexed="64"/>
      </patternFill>
    </fill>
    <fill>
      <patternFill patternType="solid">
        <fgColor rgb="FFFFFF00"/>
        <bgColor indexed="64"/>
      </patternFill>
    </fill>
    <fill>
      <patternFill patternType="solid">
        <fgColor rgb="FFFFC000"/>
        <bgColor indexed="64"/>
      </patternFill>
    </fill>
    <fill>
      <patternFill patternType="solid">
        <fgColor theme="7" tint="-0.249977111117893"/>
        <bgColor indexed="64"/>
      </patternFill>
    </fill>
    <fill>
      <patternFill patternType="solid">
        <fgColor theme="0" tint="-0.34998626667073579"/>
        <bgColor indexed="64"/>
      </patternFill>
    </fill>
    <fill>
      <patternFill patternType="solid">
        <fgColor theme="0"/>
        <bgColor indexed="64"/>
      </patternFill>
    </fill>
    <fill>
      <patternFill patternType="solid">
        <fgColor theme="4"/>
        <bgColor indexed="64"/>
      </patternFill>
    </fill>
    <fill>
      <patternFill patternType="solid">
        <fgColor theme="5" tint="0.39997558519241921"/>
        <bgColor indexed="64"/>
      </patternFill>
    </fill>
    <fill>
      <patternFill patternType="solid">
        <fgColor theme="6" tint="0.79998168889431442"/>
        <bgColor indexed="64"/>
      </patternFill>
    </fill>
    <fill>
      <patternFill patternType="solid">
        <fgColor theme="8" tint="-0.249977111117893"/>
        <bgColor indexed="64"/>
      </patternFill>
    </fill>
  </fills>
  <borders count="25">
    <border>
      <left/>
      <right/>
      <top/>
      <bottom/>
      <diagonal/>
    </border>
    <border>
      <left style="medium">
        <color rgb="FFCCCCCC"/>
      </left>
      <right style="medium">
        <color rgb="FFCCCCCC"/>
      </right>
      <top style="medium">
        <color rgb="FFCCCCCC"/>
      </top>
      <bottom style="medium">
        <color rgb="FFCCCCCC"/>
      </bottom>
      <diagonal/>
    </border>
    <border>
      <left style="medium">
        <color rgb="FF000000"/>
      </left>
      <right style="medium">
        <color rgb="FF000000"/>
      </right>
      <top/>
      <bottom style="medium">
        <color rgb="FF000000"/>
      </bottom>
      <diagonal/>
    </border>
    <border>
      <left style="medium">
        <color rgb="FFCCCCCC"/>
      </left>
      <right style="medium">
        <color rgb="FF000000"/>
      </right>
      <top/>
      <bottom style="medium">
        <color rgb="FF000000"/>
      </bottom>
      <diagonal/>
    </border>
    <border>
      <left style="medium">
        <color rgb="FFCCCCCC"/>
      </left>
      <right style="medium">
        <color rgb="FFCCCCCC"/>
      </right>
      <top style="medium">
        <color rgb="FFCCCCCC"/>
      </top>
      <bottom/>
      <diagonal/>
    </border>
    <border>
      <left style="medium">
        <color rgb="FF000000"/>
      </left>
      <right style="medium">
        <color rgb="FF000000"/>
      </right>
      <top/>
      <bottom/>
      <diagonal/>
    </border>
    <border>
      <left style="medium">
        <color rgb="FFCCCCCC"/>
      </left>
      <right style="medium">
        <color rgb="FF000000"/>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theme="4" tint="0.39997558519241921"/>
      </left>
      <right style="thin">
        <color indexed="64"/>
      </right>
      <top style="thin">
        <color indexed="64"/>
      </top>
      <bottom style="thin">
        <color indexed="64"/>
      </bottom>
      <diagonal/>
    </border>
    <border>
      <left style="thin">
        <color indexed="64"/>
      </left>
      <right style="thin">
        <color indexed="64"/>
      </right>
      <top style="medium">
        <color rgb="FF000000"/>
      </top>
      <bottom style="thin">
        <color indexed="64"/>
      </bottom>
      <diagonal/>
    </border>
    <border>
      <left/>
      <right style="thin">
        <color indexed="64"/>
      </right>
      <top style="thin">
        <color indexed="64"/>
      </top>
      <bottom style="medium">
        <color rgb="FF000000"/>
      </bottom>
      <diagonal/>
    </border>
    <border>
      <left style="thin">
        <color theme="4" tint="0.39997558519241921"/>
      </left>
      <right style="thin">
        <color indexed="64"/>
      </right>
      <top style="medium">
        <color rgb="FF000000"/>
      </top>
      <bottom style="thin">
        <color indexed="64"/>
      </bottom>
      <diagonal/>
    </border>
    <border>
      <left style="medium">
        <color rgb="FF000000"/>
      </left>
      <right style="medium">
        <color rgb="FF000000"/>
      </right>
      <top style="medium">
        <color rgb="FF000000"/>
      </top>
      <bottom style="thin">
        <color theme="4" tint="0.39997558519241921"/>
      </bottom>
      <diagonal/>
    </border>
    <border>
      <left style="medium">
        <color rgb="FFCCCCCC"/>
      </left>
      <right style="medium">
        <color rgb="FF000000"/>
      </right>
      <top style="medium">
        <color rgb="FF000000"/>
      </top>
      <bottom style="thin">
        <color theme="4" tint="0.39997558519241921"/>
      </bottom>
      <diagonal/>
    </border>
    <border>
      <left style="thin">
        <color indexed="64"/>
      </left>
      <right style="thin">
        <color indexed="64"/>
      </right>
      <top style="thin">
        <color indexed="64"/>
      </top>
      <bottom style="medium">
        <color rgb="FFCCCCCC"/>
      </bottom>
      <diagonal/>
    </border>
    <border>
      <left style="medium">
        <color rgb="FFCCCCCC"/>
      </left>
      <right/>
      <top style="medium">
        <color rgb="FF000000"/>
      </top>
      <bottom style="thin">
        <color theme="4" tint="0.39997558519241921"/>
      </bottom>
      <diagonal/>
    </border>
    <border>
      <left style="thin">
        <color indexed="64"/>
      </left>
      <right/>
      <top style="thin">
        <color indexed="64"/>
      </top>
      <bottom style="medium">
        <color rgb="FFCCCCCC"/>
      </bottom>
      <diagonal/>
    </border>
  </borders>
  <cellStyleXfs count="1">
    <xf numFmtId="0" fontId="0" fillId="0" borderId="0"/>
  </cellStyleXfs>
  <cellXfs count="216">
    <xf numFmtId="0" fontId="0" fillId="0" borderId="0" xfId="0"/>
    <xf numFmtId="0" fontId="1" fillId="0" borderId="2" xfId="0" applyFont="1" applyBorder="1" applyAlignment="1">
      <alignment horizontal="center" vertical="top"/>
    </xf>
    <xf numFmtId="0" fontId="1" fillId="0" borderId="3" xfId="0" applyFont="1" applyBorder="1" applyAlignment="1">
      <alignment horizontal="center" vertical="top"/>
    </xf>
    <xf numFmtId="0" fontId="2" fillId="0" borderId="1" xfId="0" applyFont="1" applyBorder="1" applyAlignment="1">
      <alignment horizontal="left"/>
    </xf>
    <xf numFmtId="0" fontId="2" fillId="0" borderId="4" xfId="0" applyFont="1" applyBorder="1" applyAlignment="1">
      <alignment horizontal="left"/>
    </xf>
    <xf numFmtId="0" fontId="0" fillId="0" borderId="0" xfId="0" applyAlignment="1">
      <alignment horizontal="left"/>
    </xf>
    <xf numFmtId="0" fontId="2" fillId="0" borderId="1" xfId="0" applyFont="1" applyBorder="1" applyAlignment="1">
      <alignment horizontal="left" vertical="center"/>
    </xf>
    <xf numFmtId="0" fontId="2" fillId="0" borderId="4" xfId="0" applyFont="1" applyBorder="1" applyAlignment="1">
      <alignment horizontal="left" vertical="center"/>
    </xf>
    <xf numFmtId="49" fontId="1" fillId="0" borderId="3" xfId="0" applyNumberFormat="1" applyFont="1" applyBorder="1" applyAlignment="1">
      <alignment horizontal="center" vertical="top"/>
    </xf>
    <xf numFmtId="49" fontId="2" fillId="0" borderId="1" xfId="0" applyNumberFormat="1" applyFont="1" applyBorder="1" applyAlignment="1">
      <alignment horizontal="left"/>
    </xf>
    <xf numFmtId="49" fontId="2" fillId="0" borderId="1" xfId="0" applyNumberFormat="1" applyFont="1" applyBorder="1" applyAlignment="1">
      <alignment horizontal="left" vertical="center"/>
    </xf>
    <xf numFmtId="49" fontId="2" fillId="0" borderId="4" xfId="0" applyNumberFormat="1" applyFont="1" applyBorder="1" applyAlignment="1">
      <alignment horizontal="left"/>
    </xf>
    <xf numFmtId="49" fontId="0" fillId="0" borderId="0" xfId="0" applyNumberFormat="1" applyAlignment="1">
      <alignment horizontal="left"/>
    </xf>
    <xf numFmtId="2" fontId="1" fillId="0" borderId="3" xfId="0" applyNumberFormat="1" applyFont="1" applyBorder="1" applyAlignment="1">
      <alignment horizontal="center" vertical="top"/>
    </xf>
    <xf numFmtId="2" fontId="2" fillId="0" borderId="1" xfId="0" applyNumberFormat="1" applyFont="1" applyBorder="1" applyAlignment="1">
      <alignment horizontal="center"/>
    </xf>
    <xf numFmtId="2" fontId="2" fillId="0" borderId="4" xfId="0" applyNumberFormat="1" applyFont="1" applyBorder="1" applyAlignment="1">
      <alignment horizontal="center"/>
    </xf>
    <xf numFmtId="2" fontId="0" fillId="0" borderId="0" xfId="0" applyNumberFormat="1" applyAlignment="1">
      <alignment horizontal="center"/>
    </xf>
    <xf numFmtId="164" fontId="1" fillId="0" borderId="3" xfId="0" applyNumberFormat="1" applyFont="1" applyBorder="1" applyAlignment="1">
      <alignment horizontal="center" vertical="top"/>
    </xf>
    <xf numFmtId="164" fontId="2" fillId="0" borderId="1" xfId="0" applyNumberFormat="1" applyFont="1" applyBorder="1" applyAlignment="1">
      <alignment horizontal="left"/>
    </xf>
    <xf numFmtId="164" fontId="2" fillId="0" borderId="4" xfId="0" applyNumberFormat="1" applyFont="1" applyBorder="1" applyAlignment="1">
      <alignment horizontal="left"/>
    </xf>
    <xf numFmtId="164" fontId="0" fillId="0" borderId="0" xfId="0" applyNumberFormat="1" applyAlignment="1">
      <alignment horizontal="left"/>
    </xf>
    <xf numFmtId="49" fontId="1" fillId="0" borderId="3" xfId="0" applyNumberFormat="1" applyFont="1" applyBorder="1" applyAlignment="1">
      <alignment horizontal="left" vertical="top"/>
    </xf>
    <xf numFmtId="1" fontId="1" fillId="0" borderId="3" xfId="0" applyNumberFormat="1" applyFont="1" applyBorder="1" applyAlignment="1">
      <alignment horizontal="center" vertical="top"/>
    </xf>
    <xf numFmtId="1" fontId="2" fillId="0" borderId="1" xfId="0" applyNumberFormat="1" applyFont="1" applyBorder="1" applyAlignment="1">
      <alignment horizontal="center"/>
    </xf>
    <xf numFmtId="1" fontId="2" fillId="0" borderId="4" xfId="0" applyNumberFormat="1" applyFont="1" applyBorder="1" applyAlignment="1">
      <alignment horizontal="center"/>
    </xf>
    <xf numFmtId="1" fontId="0" fillId="0" borderId="0" xfId="0" applyNumberFormat="1" applyAlignment="1">
      <alignment horizontal="center"/>
    </xf>
    <xf numFmtId="0" fontId="1" fillId="2" borderId="2" xfId="0" applyFont="1" applyFill="1" applyBorder="1" applyAlignment="1">
      <alignment horizontal="center" vertical="top"/>
    </xf>
    <xf numFmtId="49" fontId="1" fillId="2" borderId="3" xfId="0" applyNumberFormat="1" applyFont="1" applyFill="1" applyBorder="1" applyAlignment="1">
      <alignment horizontal="center" vertical="top"/>
    </xf>
    <xf numFmtId="2" fontId="4" fillId="2" borderId="3" xfId="0" applyNumberFormat="1" applyFont="1" applyFill="1" applyBorder="1" applyAlignment="1">
      <alignment horizontal="center" vertical="top"/>
    </xf>
    <xf numFmtId="164" fontId="1" fillId="2" borderId="3" xfId="0" applyNumberFormat="1" applyFont="1" applyFill="1" applyBorder="1" applyAlignment="1">
      <alignment horizontal="center" vertical="top"/>
    </xf>
    <xf numFmtId="1" fontId="1" fillId="2" borderId="3" xfId="0" applyNumberFormat="1" applyFont="1" applyFill="1" applyBorder="1" applyAlignment="1">
      <alignment horizontal="center" vertical="top"/>
    </xf>
    <xf numFmtId="0" fontId="1" fillId="2" borderId="3" xfId="0" applyFont="1" applyFill="1" applyBorder="1" applyAlignment="1">
      <alignment horizontal="center" vertical="top"/>
    </xf>
    <xf numFmtId="0" fontId="2" fillId="3" borderId="1" xfId="0" applyFont="1" applyFill="1" applyBorder="1" applyAlignment="1">
      <alignment horizontal="left"/>
    </xf>
    <xf numFmtId="49" fontId="2" fillId="3" borderId="1" xfId="0" applyNumberFormat="1" applyFont="1" applyFill="1" applyBorder="1" applyAlignment="1">
      <alignment horizontal="left"/>
    </xf>
    <xf numFmtId="2" fontId="0" fillId="3" borderId="0" xfId="0" applyNumberFormat="1" applyFill="1"/>
    <xf numFmtId="164" fontId="2" fillId="3" borderId="1" xfId="0" applyNumberFormat="1" applyFont="1" applyFill="1" applyBorder="1" applyAlignment="1">
      <alignment horizontal="center"/>
    </xf>
    <xf numFmtId="1" fontId="0" fillId="3" borderId="0" xfId="0" applyNumberFormat="1" applyFill="1" applyAlignment="1">
      <alignment horizontal="center"/>
    </xf>
    <xf numFmtId="49" fontId="2" fillId="3" borderId="1" xfId="0" applyNumberFormat="1" applyFont="1" applyFill="1" applyBorder="1" applyAlignment="1">
      <alignment horizontal="center"/>
    </xf>
    <xf numFmtId="0" fontId="2" fillId="3" borderId="1" xfId="0" applyFont="1" applyFill="1" applyBorder="1" applyAlignment="1">
      <alignment horizontal="left" vertical="center"/>
    </xf>
    <xf numFmtId="49" fontId="2" fillId="3" borderId="1" xfId="0" applyNumberFormat="1" applyFont="1" applyFill="1" applyBorder="1" applyAlignment="1">
      <alignment horizontal="left" vertical="center"/>
    </xf>
    <xf numFmtId="0" fontId="2" fillId="3" borderId="4" xfId="0" applyFont="1" applyFill="1" applyBorder="1" applyAlignment="1">
      <alignment horizontal="left"/>
    </xf>
    <xf numFmtId="49" fontId="2" fillId="3" borderId="4" xfId="0" applyNumberFormat="1" applyFont="1" applyFill="1" applyBorder="1" applyAlignment="1">
      <alignment horizontal="left"/>
    </xf>
    <xf numFmtId="164" fontId="2" fillId="3" borderId="4" xfId="0" applyNumberFormat="1" applyFont="1" applyFill="1" applyBorder="1" applyAlignment="1">
      <alignment horizontal="center"/>
    </xf>
    <xf numFmtId="49" fontId="2" fillId="3" borderId="4" xfId="0" applyNumberFormat="1" applyFont="1" applyFill="1" applyBorder="1" applyAlignment="1">
      <alignment horizontal="center"/>
    </xf>
    <xf numFmtId="0" fontId="2" fillId="3" borderId="4" xfId="0" applyFont="1" applyFill="1" applyBorder="1" applyAlignment="1">
      <alignment horizontal="left" vertical="center"/>
    </xf>
    <xf numFmtId="0" fontId="1" fillId="2" borderId="5" xfId="0" applyFont="1" applyFill="1" applyBorder="1" applyAlignment="1">
      <alignment horizontal="center" vertical="top"/>
    </xf>
    <xf numFmtId="49" fontId="1" fillId="2" borderId="6" xfId="0" applyNumberFormat="1" applyFont="1" applyFill="1" applyBorder="1" applyAlignment="1">
      <alignment horizontal="center" vertical="top"/>
    </xf>
    <xf numFmtId="2" fontId="4" fillId="2" borderId="6" xfId="0" applyNumberFormat="1" applyFont="1" applyFill="1" applyBorder="1" applyAlignment="1">
      <alignment horizontal="center" vertical="top"/>
    </xf>
    <xf numFmtId="164" fontId="1" fillId="2" borderId="6" xfId="0" applyNumberFormat="1" applyFont="1" applyFill="1" applyBorder="1" applyAlignment="1">
      <alignment horizontal="center" vertical="top"/>
    </xf>
    <xf numFmtId="1" fontId="1" fillId="2" borderId="6" xfId="0" applyNumberFormat="1" applyFont="1" applyFill="1" applyBorder="1" applyAlignment="1">
      <alignment horizontal="center" vertical="top"/>
    </xf>
    <xf numFmtId="0" fontId="1" fillId="2" borderId="6" xfId="0" applyFont="1" applyFill="1" applyBorder="1" applyAlignment="1">
      <alignment horizontal="center" vertical="top"/>
    </xf>
    <xf numFmtId="0" fontId="0" fillId="0" borderId="0" xfId="0" applyAlignment="1">
      <alignment horizontal="center"/>
    </xf>
    <xf numFmtId="0" fontId="2" fillId="3" borderId="7" xfId="0" applyFont="1" applyFill="1" applyBorder="1" applyAlignment="1">
      <alignment horizontal="left"/>
    </xf>
    <xf numFmtId="49" fontId="2" fillId="3" borderId="7" xfId="0" applyNumberFormat="1" applyFont="1" applyFill="1" applyBorder="1" applyAlignment="1">
      <alignment horizontal="left"/>
    </xf>
    <xf numFmtId="2" fontId="0" fillId="3" borderId="7" xfId="0" applyNumberFormat="1" applyFill="1" applyBorder="1"/>
    <xf numFmtId="164" fontId="2" fillId="3" borderId="7" xfId="0" applyNumberFormat="1" applyFont="1" applyFill="1" applyBorder="1" applyAlignment="1">
      <alignment horizontal="center"/>
    </xf>
    <xf numFmtId="1" fontId="0" fillId="3" borderId="7" xfId="0" applyNumberFormat="1" applyFill="1" applyBorder="1" applyAlignment="1">
      <alignment horizontal="center"/>
    </xf>
    <xf numFmtId="49" fontId="2" fillId="3" borderId="7" xfId="0" applyNumberFormat="1" applyFont="1" applyFill="1" applyBorder="1" applyAlignment="1">
      <alignment horizontal="center"/>
    </xf>
    <xf numFmtId="0" fontId="2" fillId="3" borderId="7" xfId="0" applyFont="1" applyFill="1" applyBorder="1" applyAlignment="1">
      <alignment horizontal="left" vertical="center"/>
    </xf>
    <xf numFmtId="0" fontId="5" fillId="0" borderId="8" xfId="0" applyFont="1" applyBorder="1" applyAlignment="1">
      <alignment horizontal="center"/>
    </xf>
    <xf numFmtId="0" fontId="5" fillId="0" borderId="9" xfId="0" applyFont="1" applyBorder="1" applyAlignment="1">
      <alignment horizontal="center"/>
    </xf>
    <xf numFmtId="0" fontId="5" fillId="0" borderId="10" xfId="0" applyFont="1" applyBorder="1" applyAlignment="1">
      <alignment horizontal="center"/>
    </xf>
    <xf numFmtId="0" fontId="0" fillId="0" borderId="11" xfId="0" applyBorder="1" applyAlignment="1">
      <alignment horizontal="center"/>
    </xf>
    <xf numFmtId="0" fontId="0" fillId="0" borderId="7" xfId="0" applyBorder="1" applyAlignment="1">
      <alignment horizontal="center"/>
    </xf>
    <xf numFmtId="0" fontId="0" fillId="0" borderId="12" xfId="0" applyBorder="1" applyAlignment="1">
      <alignment horizontal="center"/>
    </xf>
    <xf numFmtId="2" fontId="0" fillId="0" borderId="7" xfId="0" applyNumberFormat="1" applyBorder="1" applyAlignment="1">
      <alignment horizontal="center"/>
    </xf>
    <xf numFmtId="1" fontId="0" fillId="0" borderId="12" xfId="0" applyNumberFormat="1" applyBorder="1" applyAlignment="1">
      <alignment horizontal="center"/>
    </xf>
    <xf numFmtId="49" fontId="2" fillId="3" borderId="7" xfId="0" applyNumberFormat="1" applyFont="1" applyFill="1" applyBorder="1" applyAlignment="1">
      <alignment horizontal="left" vertical="center"/>
    </xf>
    <xf numFmtId="0" fontId="0" fillId="0" borderId="13" xfId="0" applyBorder="1" applyAlignment="1">
      <alignment horizontal="center"/>
    </xf>
    <xf numFmtId="0" fontId="0" fillId="0" borderId="14" xfId="0" applyBorder="1" applyAlignment="1">
      <alignment horizontal="center"/>
    </xf>
    <xf numFmtId="0" fontId="0" fillId="0" borderId="15" xfId="0" applyBorder="1" applyAlignment="1">
      <alignment horizontal="center"/>
    </xf>
    <xf numFmtId="0" fontId="2" fillId="3" borderId="12" xfId="0" applyFont="1" applyFill="1" applyBorder="1" applyAlignment="1">
      <alignment horizontal="left" vertical="center"/>
    </xf>
    <xf numFmtId="0" fontId="0" fillId="3" borderId="7" xfId="0" applyFill="1" applyBorder="1" applyAlignment="1">
      <alignment horizontal="center"/>
    </xf>
    <xf numFmtId="0" fontId="1" fillId="7" borderId="7" xfId="0" applyFont="1" applyFill="1" applyBorder="1" applyAlignment="1">
      <alignment horizontal="center" vertical="center"/>
    </xf>
    <xf numFmtId="0" fontId="0" fillId="0" borderId="0" xfId="0" applyAlignment="1">
      <alignment vertical="center" wrapText="1"/>
    </xf>
    <xf numFmtId="0" fontId="0" fillId="10" borderId="7" xfId="0" applyFill="1" applyBorder="1" applyAlignment="1">
      <alignment horizontal="center"/>
    </xf>
    <xf numFmtId="0" fontId="0" fillId="10" borderId="7" xfId="0" applyFill="1" applyBorder="1" applyAlignment="1">
      <alignment horizontal="left" wrapText="1"/>
    </xf>
    <xf numFmtId="0" fontId="10" fillId="10" borderId="7" xfId="0" applyFont="1" applyFill="1" applyBorder="1" applyAlignment="1">
      <alignment horizontal="center" wrapText="1"/>
    </xf>
    <xf numFmtId="0" fontId="1" fillId="2" borderId="18" xfId="0" applyFont="1" applyFill="1" applyBorder="1" applyAlignment="1">
      <alignment horizontal="center" vertical="top"/>
    </xf>
    <xf numFmtId="0" fontId="3" fillId="7" borderId="7" xfId="0" applyFont="1" applyFill="1" applyBorder="1"/>
    <xf numFmtId="49" fontId="1" fillId="7" borderId="7" xfId="0" applyNumberFormat="1" applyFont="1" applyFill="1" applyBorder="1" applyAlignment="1">
      <alignment horizontal="center" vertical="center"/>
    </xf>
    <xf numFmtId="2" fontId="1" fillId="7" borderId="7" xfId="0" applyNumberFormat="1" applyFont="1" applyFill="1" applyBorder="1" applyAlignment="1">
      <alignment horizontal="center" vertical="center"/>
    </xf>
    <xf numFmtId="164" fontId="1" fillId="7" borderId="7" xfId="0" applyNumberFormat="1" applyFont="1" applyFill="1" applyBorder="1" applyAlignment="1">
      <alignment horizontal="center" vertical="center"/>
    </xf>
    <xf numFmtId="1" fontId="1" fillId="7" borderId="7" xfId="0" applyNumberFormat="1" applyFont="1" applyFill="1" applyBorder="1" applyAlignment="1">
      <alignment horizontal="center" vertical="center"/>
    </xf>
    <xf numFmtId="0" fontId="1" fillId="2" borderId="8" xfId="0" applyFont="1" applyFill="1" applyBorder="1" applyAlignment="1">
      <alignment horizontal="center" vertical="top"/>
    </xf>
    <xf numFmtId="49" fontId="1" fillId="2" borderId="9" xfId="0" applyNumberFormat="1" applyFont="1" applyFill="1" applyBorder="1" applyAlignment="1">
      <alignment horizontal="center" vertical="top"/>
    </xf>
    <xf numFmtId="2" fontId="4" fillId="2" borderId="9" xfId="0" applyNumberFormat="1" applyFont="1" applyFill="1" applyBorder="1" applyAlignment="1">
      <alignment horizontal="center" vertical="top"/>
    </xf>
    <xf numFmtId="164" fontId="1" fillId="2" borderId="9" xfId="0" applyNumberFormat="1" applyFont="1" applyFill="1" applyBorder="1" applyAlignment="1">
      <alignment horizontal="center" vertical="top"/>
    </xf>
    <xf numFmtId="1" fontId="1" fillId="2" borderId="9" xfId="0" applyNumberFormat="1" applyFont="1" applyFill="1" applyBorder="1" applyAlignment="1">
      <alignment horizontal="center" vertical="top"/>
    </xf>
    <xf numFmtId="0" fontId="1" fillId="2" borderId="10" xfId="0" applyFont="1" applyFill="1" applyBorder="1" applyAlignment="1">
      <alignment horizontal="center" vertical="top"/>
    </xf>
    <xf numFmtId="0" fontId="2" fillId="3" borderId="11" xfId="0" applyFont="1" applyFill="1" applyBorder="1" applyAlignment="1">
      <alignment horizontal="left"/>
    </xf>
    <xf numFmtId="0" fontId="2" fillId="3" borderId="13" xfId="0" applyFont="1" applyFill="1" applyBorder="1" applyAlignment="1">
      <alignment horizontal="left"/>
    </xf>
    <xf numFmtId="49" fontId="2" fillId="3" borderId="14" xfId="0" applyNumberFormat="1" applyFont="1" applyFill="1" applyBorder="1" applyAlignment="1">
      <alignment horizontal="left"/>
    </xf>
    <xf numFmtId="2" fontId="0" fillId="3" borderId="14" xfId="0" applyNumberFormat="1" applyFill="1" applyBorder="1"/>
    <xf numFmtId="164" fontId="2" fillId="3" borderId="14" xfId="0" applyNumberFormat="1" applyFont="1" applyFill="1" applyBorder="1" applyAlignment="1">
      <alignment horizontal="center"/>
    </xf>
    <xf numFmtId="1" fontId="0" fillId="3" borderId="14" xfId="0" applyNumberFormat="1" applyFill="1" applyBorder="1" applyAlignment="1">
      <alignment horizontal="center"/>
    </xf>
    <xf numFmtId="49" fontId="2" fillId="3" borderId="14" xfId="0" applyNumberFormat="1" applyFont="1" applyFill="1" applyBorder="1" applyAlignment="1">
      <alignment horizontal="center"/>
    </xf>
    <xf numFmtId="0" fontId="2" fillId="3" borderId="15" xfId="0" applyFont="1" applyFill="1" applyBorder="1" applyAlignment="1">
      <alignment horizontal="left" vertical="center"/>
    </xf>
    <xf numFmtId="0" fontId="0" fillId="0" borderId="11" xfId="0" applyBorder="1" applyAlignment="1">
      <alignment vertical="center"/>
    </xf>
    <xf numFmtId="0" fontId="0" fillId="0" borderId="12" xfId="0" applyBorder="1" applyAlignment="1">
      <alignment vertical="center"/>
    </xf>
    <xf numFmtId="0" fontId="3" fillId="0" borderId="8" xfId="0" applyFont="1" applyBorder="1" applyAlignment="1">
      <alignment horizontal="center" vertical="center"/>
    </xf>
    <xf numFmtId="0" fontId="3" fillId="0" borderId="10" xfId="0" applyFont="1" applyBorder="1" applyAlignment="1">
      <alignment horizontal="center" vertical="center"/>
    </xf>
    <xf numFmtId="0" fontId="0" fillId="0" borderId="13" xfId="0" applyBorder="1" applyAlignment="1">
      <alignment vertical="center"/>
    </xf>
    <xf numFmtId="0" fontId="0" fillId="0" borderId="15" xfId="0" applyBorder="1" applyAlignment="1">
      <alignment vertical="center"/>
    </xf>
    <xf numFmtId="0" fontId="13" fillId="0" borderId="0" xfId="0" applyFont="1"/>
    <xf numFmtId="2" fontId="0" fillId="0" borderId="0" xfId="0" applyNumberFormat="1"/>
    <xf numFmtId="14" fontId="0" fillId="0" borderId="0" xfId="0" applyNumberFormat="1" applyAlignment="1">
      <alignment horizontal="center"/>
    </xf>
    <xf numFmtId="0" fontId="0" fillId="8" borderId="7" xfId="0" applyFill="1" applyBorder="1"/>
    <xf numFmtId="0" fontId="6" fillId="14" borderId="7" xfId="0" applyFont="1" applyFill="1" applyBorder="1"/>
    <xf numFmtId="0" fontId="0" fillId="8" borderId="7" xfId="0" applyFill="1" applyBorder="1" applyAlignment="1">
      <alignment horizontal="right"/>
    </xf>
    <xf numFmtId="1" fontId="0" fillId="8" borderId="7" xfId="0" applyNumberFormat="1" applyFill="1" applyBorder="1" applyAlignment="1">
      <alignment horizontal="right"/>
    </xf>
    <xf numFmtId="0" fontId="2" fillId="11" borderId="7" xfId="0" applyFont="1" applyFill="1" applyBorder="1" applyAlignment="1">
      <alignment horizontal="left"/>
    </xf>
    <xf numFmtId="49" fontId="2" fillId="11" borderId="7" xfId="0" applyNumberFormat="1" applyFont="1" applyFill="1" applyBorder="1" applyAlignment="1">
      <alignment horizontal="left"/>
    </xf>
    <xf numFmtId="2" fontId="0" fillId="11" borderId="12" xfId="0" applyNumberFormat="1" applyFill="1" applyBorder="1"/>
    <xf numFmtId="0" fontId="2" fillId="11" borderId="14" xfId="0" applyFont="1" applyFill="1" applyBorder="1" applyAlignment="1">
      <alignment horizontal="left"/>
    </xf>
    <xf numFmtId="49" fontId="2" fillId="11" borderId="14" xfId="0" applyNumberFormat="1" applyFont="1" applyFill="1" applyBorder="1" applyAlignment="1">
      <alignment horizontal="left"/>
    </xf>
    <xf numFmtId="2" fontId="0" fillId="11" borderId="15" xfId="0" applyNumberFormat="1" applyFill="1" applyBorder="1"/>
    <xf numFmtId="0" fontId="0" fillId="11" borderId="11" xfId="0" applyFill="1" applyBorder="1" applyAlignment="1">
      <alignment horizontal="center"/>
    </xf>
    <xf numFmtId="0" fontId="0" fillId="11" borderId="13" xfId="0" applyFill="1" applyBorder="1" applyAlignment="1">
      <alignment horizontal="center"/>
    </xf>
    <xf numFmtId="0" fontId="8" fillId="17" borderId="8" xfId="0" applyFont="1" applyFill="1" applyBorder="1" applyAlignment="1">
      <alignment horizontal="center"/>
    </xf>
    <xf numFmtId="0" fontId="8" fillId="17" borderId="9" xfId="0" applyFont="1" applyFill="1" applyBorder="1" applyAlignment="1">
      <alignment horizontal="center" vertical="top"/>
    </xf>
    <xf numFmtId="49" fontId="8" fillId="17" borderId="9" xfId="0" applyNumberFormat="1" applyFont="1" applyFill="1" applyBorder="1" applyAlignment="1">
      <alignment horizontal="center" vertical="top"/>
    </xf>
    <xf numFmtId="2" fontId="8" fillId="17" borderId="10" xfId="0" applyNumberFormat="1" applyFont="1" applyFill="1" applyBorder="1" applyAlignment="1">
      <alignment horizontal="center" vertical="top"/>
    </xf>
    <xf numFmtId="0" fontId="2" fillId="19" borderId="16" xfId="0" applyFont="1" applyFill="1" applyBorder="1" applyAlignment="1">
      <alignment horizontal="left"/>
    </xf>
    <xf numFmtId="49" fontId="2" fillId="19" borderId="7" xfId="0" applyNumberFormat="1" applyFont="1" applyFill="1" applyBorder="1" applyAlignment="1">
      <alignment horizontal="left"/>
    </xf>
    <xf numFmtId="1" fontId="0" fillId="19" borderId="7" xfId="0" applyNumberFormat="1" applyFill="1" applyBorder="1" applyAlignment="1">
      <alignment horizontal="center"/>
    </xf>
    <xf numFmtId="49" fontId="2" fillId="19" borderId="7" xfId="0" applyNumberFormat="1" applyFont="1" applyFill="1" applyBorder="1" applyAlignment="1">
      <alignment horizontal="left" vertical="center"/>
    </xf>
    <xf numFmtId="0" fontId="4" fillId="20" borderId="19" xfId="0" applyFont="1" applyFill="1" applyBorder="1" applyAlignment="1">
      <alignment horizontal="center" vertical="top"/>
    </xf>
    <xf numFmtId="49" fontId="4" fillId="20" borderId="17" xfId="0" applyNumberFormat="1" applyFont="1" applyFill="1" applyBorder="1" applyAlignment="1">
      <alignment horizontal="center" vertical="top"/>
    </xf>
    <xf numFmtId="1" fontId="4" fillId="20" borderId="17" xfId="0" applyNumberFormat="1" applyFont="1" applyFill="1" applyBorder="1" applyAlignment="1">
      <alignment horizontal="center" vertical="top"/>
    </xf>
    <xf numFmtId="14" fontId="2" fillId="3" borderId="7" xfId="0" applyNumberFormat="1" applyFont="1" applyFill="1" applyBorder="1" applyAlignment="1">
      <alignment horizontal="center"/>
    </xf>
    <xf numFmtId="0" fontId="4" fillId="2" borderId="20" xfId="0" applyFont="1" applyFill="1" applyBorder="1" applyAlignment="1">
      <alignment horizontal="center" vertical="top"/>
    </xf>
    <xf numFmtId="49" fontId="4" fillId="2" borderId="21" xfId="0" applyNumberFormat="1" applyFont="1" applyFill="1" applyBorder="1" applyAlignment="1">
      <alignment horizontal="center" vertical="top"/>
    </xf>
    <xf numFmtId="2" fontId="4" fillId="2" borderId="21" xfId="0" applyNumberFormat="1" applyFont="1" applyFill="1" applyBorder="1" applyAlignment="1">
      <alignment horizontal="center" vertical="top"/>
    </xf>
    <xf numFmtId="164" fontId="4" fillId="2" borderId="21" xfId="0" applyNumberFormat="1" applyFont="1" applyFill="1" applyBorder="1" applyAlignment="1">
      <alignment horizontal="center" vertical="top"/>
    </xf>
    <xf numFmtId="1" fontId="4" fillId="2" borderId="21" xfId="0" applyNumberFormat="1" applyFont="1" applyFill="1" applyBorder="1" applyAlignment="1">
      <alignment horizontal="center" vertical="top"/>
    </xf>
    <xf numFmtId="0" fontId="2" fillId="3" borderId="22" xfId="0" applyFont="1" applyFill="1" applyBorder="1" applyAlignment="1">
      <alignment horizontal="left"/>
    </xf>
    <xf numFmtId="49" fontId="2" fillId="3" borderId="22" xfId="0" applyNumberFormat="1" applyFont="1" applyFill="1" applyBorder="1" applyAlignment="1">
      <alignment horizontal="left"/>
    </xf>
    <xf numFmtId="2" fontId="0" fillId="3" borderId="22" xfId="0" applyNumberFormat="1" applyFill="1" applyBorder="1"/>
    <xf numFmtId="164" fontId="2" fillId="3" borderId="22" xfId="0" applyNumberFormat="1" applyFont="1" applyFill="1" applyBorder="1" applyAlignment="1">
      <alignment horizontal="center"/>
    </xf>
    <xf numFmtId="1" fontId="0" fillId="3" borderId="22" xfId="0" applyNumberFormat="1" applyFill="1" applyBorder="1" applyAlignment="1">
      <alignment horizontal="center"/>
    </xf>
    <xf numFmtId="164" fontId="0" fillId="0" borderId="0" xfId="0" applyNumberFormat="1"/>
    <xf numFmtId="2" fontId="0" fillId="0" borderId="7" xfId="0" applyNumberFormat="1" applyBorder="1"/>
    <xf numFmtId="0" fontId="4" fillId="2" borderId="7" xfId="0" applyFont="1" applyFill="1" applyBorder="1" applyAlignment="1">
      <alignment horizontal="center" vertical="top"/>
    </xf>
    <xf numFmtId="49" fontId="4" fillId="2" borderId="7" xfId="0" applyNumberFormat="1" applyFont="1" applyFill="1" applyBorder="1" applyAlignment="1">
      <alignment horizontal="center" vertical="top"/>
    </xf>
    <xf numFmtId="2" fontId="4" fillId="2" borderId="7" xfId="0" applyNumberFormat="1" applyFont="1" applyFill="1" applyBorder="1" applyAlignment="1">
      <alignment horizontal="center" vertical="top"/>
    </xf>
    <xf numFmtId="164" fontId="4" fillId="2" borderId="7" xfId="0" applyNumberFormat="1" applyFont="1" applyFill="1" applyBorder="1" applyAlignment="1">
      <alignment horizontal="center" vertical="top"/>
    </xf>
    <xf numFmtId="1" fontId="4" fillId="2" borderId="7" xfId="0" applyNumberFormat="1" applyFont="1" applyFill="1" applyBorder="1" applyAlignment="1">
      <alignment horizontal="center" vertical="top"/>
    </xf>
    <xf numFmtId="0" fontId="0" fillId="3" borderId="7" xfId="0" applyFill="1" applyBorder="1"/>
    <xf numFmtId="164" fontId="0" fillId="3" borderId="7" xfId="0" applyNumberFormat="1" applyFill="1" applyBorder="1" applyAlignment="1">
      <alignment horizontal="center"/>
    </xf>
    <xf numFmtId="0" fontId="2" fillId="3" borderId="7" xfId="0" applyFont="1" applyFill="1" applyBorder="1" applyAlignment="1">
      <alignment horizontal="center"/>
    </xf>
    <xf numFmtId="49" fontId="4" fillId="2" borderId="23" xfId="0" applyNumberFormat="1" applyFont="1" applyFill="1" applyBorder="1" applyAlignment="1">
      <alignment horizontal="center" vertical="top"/>
    </xf>
    <xf numFmtId="49" fontId="2" fillId="3" borderId="12" xfId="0" applyNumberFormat="1" applyFont="1" applyFill="1" applyBorder="1" applyAlignment="1">
      <alignment horizontal="center"/>
    </xf>
    <xf numFmtId="49" fontId="2" fillId="3" borderId="24" xfId="0" applyNumberFormat="1" applyFont="1" applyFill="1" applyBorder="1" applyAlignment="1">
      <alignment horizontal="center"/>
    </xf>
    <xf numFmtId="0" fontId="0" fillId="22" borderId="0" xfId="0" applyFill="1"/>
    <xf numFmtId="0" fontId="2" fillId="22" borderId="0" xfId="0" applyFont="1" applyFill="1" applyAlignment="1">
      <alignment horizontal="left" vertical="center"/>
    </xf>
    <xf numFmtId="0" fontId="2" fillId="22" borderId="0" xfId="0" applyFont="1" applyFill="1" applyAlignment="1">
      <alignment horizontal="left"/>
    </xf>
    <xf numFmtId="2" fontId="0" fillId="22" borderId="0" xfId="0" applyNumberFormat="1" applyFill="1"/>
    <xf numFmtId="164" fontId="0" fillId="22" borderId="0" xfId="0" applyNumberFormat="1" applyFill="1"/>
    <xf numFmtId="1" fontId="0" fillId="22" borderId="0" xfId="0" applyNumberFormat="1" applyFill="1"/>
    <xf numFmtId="0" fontId="0" fillId="15" borderId="7" xfId="0" applyFill="1" applyBorder="1"/>
    <xf numFmtId="0" fontId="0" fillId="7" borderId="7" xfId="0" applyFill="1" applyBorder="1"/>
    <xf numFmtId="0" fontId="0" fillId="8" borderId="7" xfId="0" applyFill="1" applyBorder="1" applyAlignment="1">
      <alignment horizontal="center"/>
    </xf>
    <xf numFmtId="0" fontId="16" fillId="14" borderId="7" xfId="0" applyFont="1" applyFill="1" applyBorder="1"/>
    <xf numFmtId="0" fontId="0" fillId="0" borderId="0" xfId="0" pivotButton="1"/>
    <xf numFmtId="0" fontId="0" fillId="0" borderId="7" xfId="0" applyBorder="1" applyAlignment="1">
      <alignment horizontal="left"/>
    </xf>
    <xf numFmtId="0" fontId="0" fillId="0" borderId="7" xfId="0" applyBorder="1" applyAlignment="1">
      <alignment horizontal="left" indent="1"/>
    </xf>
    <xf numFmtId="2" fontId="0" fillId="0" borderId="7" xfId="0" applyNumberFormat="1" applyBorder="1" applyAlignment="1">
      <alignment horizontal="right"/>
    </xf>
    <xf numFmtId="0" fontId="0" fillId="9" borderId="7" xfId="0" applyFill="1" applyBorder="1" applyAlignment="1">
      <alignment horizontal="center" vertical="center"/>
    </xf>
    <xf numFmtId="0" fontId="0" fillId="5" borderId="7" xfId="0" applyFill="1" applyBorder="1" applyAlignment="1">
      <alignment horizontal="center" vertical="center"/>
    </xf>
    <xf numFmtId="0" fontId="0" fillId="24" borderId="7" xfId="0" applyFill="1" applyBorder="1" applyAlignment="1">
      <alignment horizontal="left" vertical="center"/>
    </xf>
    <xf numFmtId="0" fontId="0" fillId="24" borderId="7" xfId="0" applyFill="1" applyBorder="1" applyAlignment="1">
      <alignment horizontal="center" vertical="center"/>
    </xf>
    <xf numFmtId="0" fontId="0" fillId="24" borderId="7" xfId="0" applyFill="1" applyBorder="1" applyAlignment="1">
      <alignment horizontal="right" vertical="center"/>
    </xf>
    <xf numFmtId="0" fontId="20" fillId="0" borderId="0" xfId="0" applyFont="1" applyAlignment="1">
      <alignment vertical="center"/>
    </xf>
    <xf numFmtId="0" fontId="14" fillId="9" borderId="0" xfId="0" applyFont="1" applyFill="1" applyAlignment="1">
      <alignment horizontal="center"/>
    </xf>
    <xf numFmtId="0" fontId="14" fillId="11" borderId="0" xfId="0" applyFont="1" applyFill="1" applyAlignment="1">
      <alignment horizontal="center"/>
    </xf>
    <xf numFmtId="0" fontId="14" fillId="5" borderId="0" xfId="0" applyFont="1" applyFill="1" applyAlignment="1">
      <alignment horizontal="center"/>
    </xf>
    <xf numFmtId="0" fontId="0" fillId="0" borderId="0" xfId="0" applyAlignment="1">
      <alignment horizontal="center"/>
    </xf>
    <xf numFmtId="0" fontId="0" fillId="0" borderId="0" xfId="0" applyAlignment="1">
      <alignment horizontal="center" vertical="center" wrapText="1"/>
    </xf>
    <xf numFmtId="0" fontId="13" fillId="11" borderId="0" xfId="0" applyFont="1" applyFill="1" applyAlignment="1">
      <alignment horizontal="center"/>
    </xf>
    <xf numFmtId="0" fontId="0" fillId="6" borderId="7" xfId="0" applyFill="1" applyBorder="1" applyAlignment="1">
      <alignment horizontal="center" vertical="center" wrapText="1"/>
    </xf>
    <xf numFmtId="0" fontId="0" fillId="6" borderId="7" xfId="0" applyFill="1" applyBorder="1" applyAlignment="1">
      <alignment horizontal="center" vertical="center"/>
    </xf>
    <xf numFmtId="2" fontId="0" fillId="6" borderId="7" xfId="0" applyNumberFormat="1" applyFill="1" applyBorder="1" applyAlignment="1">
      <alignment horizontal="center" vertical="center"/>
    </xf>
    <xf numFmtId="1" fontId="0" fillId="6" borderId="7" xfId="0" applyNumberFormat="1" applyFill="1" applyBorder="1" applyAlignment="1">
      <alignment horizontal="center" vertical="center"/>
    </xf>
    <xf numFmtId="0" fontId="7" fillId="4" borderId="0" xfId="0" applyFont="1" applyFill="1" applyAlignment="1">
      <alignment horizontal="center" vertical="center"/>
    </xf>
    <xf numFmtId="0" fontId="3" fillId="5" borderId="7" xfId="0" applyFont="1" applyFill="1" applyBorder="1" applyAlignment="1">
      <alignment horizontal="center" vertical="center"/>
    </xf>
    <xf numFmtId="0" fontId="3" fillId="5" borderId="7" xfId="0" applyFont="1" applyFill="1" applyBorder="1" applyAlignment="1">
      <alignment horizontal="center" vertical="center" wrapText="1"/>
    </xf>
    <xf numFmtId="0" fontId="9" fillId="8" borderId="0" xfId="0" applyFont="1" applyFill="1" applyAlignment="1">
      <alignment horizontal="center" vertical="center"/>
    </xf>
    <xf numFmtId="0" fontId="11" fillId="9" borderId="14" xfId="0" applyFont="1" applyFill="1" applyBorder="1" applyAlignment="1">
      <alignment horizontal="center" vertical="center" wrapText="1"/>
    </xf>
    <xf numFmtId="0" fontId="11" fillId="9" borderId="9" xfId="0" applyFont="1" applyFill="1" applyBorder="1" applyAlignment="1">
      <alignment horizontal="center" vertical="center" wrapText="1"/>
    </xf>
    <xf numFmtId="0" fontId="12" fillId="8" borderId="0" xfId="0" applyFont="1" applyFill="1" applyAlignment="1">
      <alignment horizontal="center"/>
    </xf>
    <xf numFmtId="0" fontId="14" fillId="13" borderId="0" xfId="0" applyFont="1" applyFill="1" applyAlignment="1">
      <alignment horizontal="center"/>
    </xf>
    <xf numFmtId="0" fontId="14" fillId="15" borderId="0" xfId="0" applyFont="1" applyFill="1" applyAlignment="1">
      <alignment horizontal="center"/>
    </xf>
    <xf numFmtId="0" fontId="15" fillId="14" borderId="12" xfId="0" applyFont="1" applyFill="1" applyBorder="1" applyAlignment="1">
      <alignment horizontal="center"/>
    </xf>
    <xf numFmtId="0" fontId="15" fillId="14" borderId="11" xfId="0" applyFont="1" applyFill="1" applyBorder="1" applyAlignment="1">
      <alignment horizontal="center"/>
    </xf>
    <xf numFmtId="0" fontId="14" fillId="16" borderId="0" xfId="0" applyFont="1" applyFill="1" applyAlignment="1">
      <alignment horizontal="center"/>
    </xf>
    <xf numFmtId="0" fontId="3" fillId="18" borderId="0" xfId="0" applyFont="1" applyFill="1" applyAlignment="1">
      <alignment horizontal="center"/>
    </xf>
    <xf numFmtId="0" fontId="14" fillId="21" borderId="0" xfId="0" applyFont="1" applyFill="1" applyAlignment="1">
      <alignment horizontal="center"/>
    </xf>
    <xf numFmtId="0" fontId="14" fillId="12" borderId="0" xfId="0" applyFont="1" applyFill="1" applyAlignment="1">
      <alignment horizontal="center"/>
    </xf>
    <xf numFmtId="0" fontId="14" fillId="8" borderId="0" xfId="0" applyFont="1" applyFill="1" applyAlignment="1">
      <alignment horizontal="center"/>
    </xf>
    <xf numFmtId="0" fontId="18" fillId="23" borderId="0" xfId="0" applyFont="1" applyFill="1" applyAlignment="1">
      <alignment horizontal="center" vertical="center"/>
    </xf>
    <xf numFmtId="0" fontId="19" fillId="15" borderId="0" xfId="0" applyFont="1" applyFill="1" applyAlignment="1">
      <alignment horizontal="center"/>
    </xf>
    <xf numFmtId="0" fontId="14" fillId="19" borderId="0" xfId="0" applyFont="1" applyFill="1" applyAlignment="1">
      <alignment horizontal="center"/>
    </xf>
    <xf numFmtId="0" fontId="14" fillId="25" borderId="0" xfId="0" applyFont="1" applyFill="1" applyAlignment="1">
      <alignment horizontal="center"/>
    </xf>
    <xf numFmtId="0" fontId="0" fillId="0" borderId="0" xfId="0" applyNumberFormat="1"/>
    <xf numFmtId="0" fontId="0" fillId="0" borderId="0" xfId="0" applyNumberFormat="1" applyAlignment="1">
      <alignment horizontal="center"/>
    </xf>
    <xf numFmtId="0" fontId="0" fillId="0" borderId="7" xfId="0" applyNumberFormat="1" applyBorder="1"/>
    <xf numFmtId="0" fontId="0" fillId="0" borderId="7" xfId="0" applyNumberFormat="1" applyBorder="1" applyAlignment="1">
      <alignment horizontal="center"/>
    </xf>
    <xf numFmtId="0" fontId="21" fillId="26" borderId="0" xfId="0" applyFont="1" applyFill="1" applyBorder="1" applyAlignment="1">
      <alignment horizontal="center"/>
    </xf>
    <xf numFmtId="0" fontId="0" fillId="0" borderId="0" xfId="0" applyBorder="1"/>
    <xf numFmtId="0" fontId="0" fillId="0" borderId="0" xfId="0" pivotButton="1" applyBorder="1"/>
    <xf numFmtId="0" fontId="0" fillId="0" borderId="0" xfId="0" applyBorder="1" applyAlignment="1">
      <alignment horizontal="center"/>
    </xf>
    <xf numFmtId="0" fontId="0" fillId="0" borderId="0" xfId="0" applyBorder="1" applyAlignment="1">
      <alignment horizontal="left"/>
    </xf>
    <xf numFmtId="2" fontId="0" fillId="0" borderId="0" xfId="0" applyNumberFormat="1" applyBorder="1"/>
    <xf numFmtId="0" fontId="0" fillId="0" borderId="0" xfId="0" applyNumberFormat="1" applyBorder="1" applyAlignment="1">
      <alignment horizontal="center"/>
    </xf>
    <xf numFmtId="0" fontId="0" fillId="0" borderId="0" xfId="0" applyNumberFormat="1" applyBorder="1"/>
  </cellXfs>
  <cellStyles count="1">
    <cellStyle name="Normal" xfId="0" builtinId="0"/>
  </cellStyles>
  <dxfs count="2768">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alignment horizontal="center"/>
    </dxf>
    <dxf>
      <alignment horizontal="center"/>
    </dxf>
    <dxf>
      <alignment vertical="center"/>
    </dxf>
    <dxf>
      <alignment vertical="center"/>
    </dxf>
    <dxf>
      <fill>
        <patternFill patternType="solid">
          <bgColor theme="8" tint="0.59999389629810485"/>
        </patternFill>
      </fill>
    </dxf>
    <dxf>
      <fill>
        <patternFill patternType="solid">
          <bgColor theme="8" tint="0.59999389629810485"/>
        </patternFill>
      </fill>
    </dxf>
    <dxf>
      <numFmt numFmtId="2" formatCode="0.00"/>
    </dxf>
    <dxf>
      <alignment horizontal="center"/>
    </dxf>
    <dxf>
      <alignment horizontal="center"/>
    </dxf>
    <dxf>
      <numFmt numFmtId="2" formatCode="0.00"/>
    </dxf>
    <dxf>
      <numFmt numFmtId="2" formatCode="0.00"/>
    </dxf>
    <dxf>
      <alignment horizontal="center"/>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alignment horizontal="center"/>
    </dxf>
    <dxf>
      <alignment horizontal="center"/>
    </dxf>
    <dxf>
      <alignment vertical="center"/>
    </dxf>
    <dxf>
      <alignment vertical="center"/>
    </dxf>
    <dxf>
      <fill>
        <patternFill patternType="solid">
          <bgColor theme="8" tint="0.59999389629810485"/>
        </patternFill>
      </fill>
    </dxf>
    <dxf>
      <fill>
        <patternFill patternType="solid">
          <bgColor theme="8"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horizontal="left"/>
    </dxf>
    <dxf>
      <alignment horizontal="left"/>
    </dxf>
    <dxf>
      <alignment horizontal="center"/>
    </dxf>
    <dxf>
      <alignment horizontal="center"/>
    </dxf>
    <dxf>
      <alignment horizontal="right"/>
    </dxf>
    <dxf>
      <alignment horizontal="right"/>
    </dxf>
    <dxf>
      <numFmt numFmtId="2" formatCode="0.00"/>
    </dxf>
    <dxf>
      <numFmt numFmtId="2" formatCode="0.00"/>
    </dxf>
    <dxf>
      <alignment vertical="center"/>
    </dxf>
    <dxf>
      <alignment vertical="center"/>
    </dxf>
    <dxf>
      <fill>
        <patternFill patternType="solid">
          <bgColor theme="5" tint="0.39997558519241921"/>
        </patternFill>
      </fill>
    </dxf>
    <dxf>
      <fill>
        <patternFill patternType="solid">
          <bgColor theme="5" tint="0.39997558519241921"/>
        </patternFill>
      </fill>
    </dxf>
    <dxf>
      <numFmt numFmtId="2" formatCode="0.00"/>
    </dxf>
    <dxf>
      <alignment horizontal="center"/>
    </dxf>
    <dxf>
      <alignment horizontal="center"/>
    </dxf>
    <dxf>
      <numFmt numFmtId="2" formatCode="0.00"/>
    </dxf>
    <dxf>
      <numFmt numFmtId="2" formatCode="0.00"/>
    </dxf>
    <dxf>
      <alignment horizontal="center"/>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alignment horizontal="center"/>
    </dxf>
    <dxf>
      <alignment horizontal="center"/>
    </dxf>
    <dxf>
      <alignment vertical="center"/>
    </dxf>
    <dxf>
      <alignment vertical="center"/>
    </dxf>
    <dxf>
      <fill>
        <patternFill patternType="solid">
          <bgColor theme="8" tint="0.59999389629810485"/>
        </patternFill>
      </fill>
    </dxf>
    <dxf>
      <fill>
        <patternFill patternType="solid">
          <bgColor theme="8"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horizontal="left"/>
    </dxf>
    <dxf>
      <alignment horizontal="left"/>
    </dxf>
    <dxf>
      <alignment horizontal="center"/>
    </dxf>
    <dxf>
      <alignment horizontal="center"/>
    </dxf>
    <dxf>
      <alignment horizontal="right"/>
    </dxf>
    <dxf>
      <alignment horizontal="right"/>
    </dxf>
    <dxf>
      <numFmt numFmtId="2" formatCode="0.00"/>
    </dxf>
    <dxf>
      <numFmt numFmtId="2" formatCode="0.00"/>
    </dxf>
    <dxf>
      <alignment vertical="center"/>
    </dxf>
    <dxf>
      <alignment vertical="center"/>
    </dxf>
    <dxf>
      <fill>
        <patternFill patternType="solid">
          <bgColor theme="5" tint="0.39997558519241921"/>
        </patternFill>
      </fill>
    </dxf>
    <dxf>
      <fill>
        <patternFill patternType="solid">
          <bgColor theme="5" tint="0.39997558519241921"/>
        </patternFill>
      </fill>
    </dxf>
    <dxf>
      <numFmt numFmtId="2" formatCode="0.00"/>
    </dxf>
    <dxf>
      <alignment horizontal="center"/>
    </dxf>
    <dxf>
      <alignment horizontal="center"/>
    </dxf>
    <dxf>
      <numFmt numFmtId="2" formatCode="0.00"/>
    </dxf>
    <dxf>
      <numFmt numFmtId="2" formatCode="0.00"/>
    </dxf>
    <dxf>
      <alignment horizontal="center"/>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alignment horizontal="center"/>
    </dxf>
    <dxf>
      <alignment horizontal="center"/>
    </dxf>
    <dxf>
      <alignment vertical="center"/>
    </dxf>
    <dxf>
      <alignment vertical="center"/>
    </dxf>
    <dxf>
      <fill>
        <patternFill patternType="solid">
          <bgColor theme="8" tint="0.59999389629810485"/>
        </patternFill>
      </fill>
    </dxf>
    <dxf>
      <fill>
        <patternFill patternType="solid">
          <bgColor theme="8"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horizontal="left"/>
    </dxf>
    <dxf>
      <alignment horizontal="left"/>
    </dxf>
    <dxf>
      <alignment horizontal="center"/>
    </dxf>
    <dxf>
      <alignment horizontal="center"/>
    </dxf>
    <dxf>
      <alignment horizontal="right"/>
    </dxf>
    <dxf>
      <alignment horizontal="right"/>
    </dxf>
    <dxf>
      <numFmt numFmtId="2" formatCode="0.00"/>
    </dxf>
    <dxf>
      <numFmt numFmtId="2" formatCode="0.00"/>
    </dxf>
    <dxf>
      <alignment vertical="center"/>
    </dxf>
    <dxf>
      <alignment vertical="center"/>
    </dxf>
    <dxf>
      <fill>
        <patternFill patternType="solid">
          <bgColor theme="5" tint="0.39997558519241921"/>
        </patternFill>
      </fill>
    </dxf>
    <dxf>
      <fill>
        <patternFill patternType="solid">
          <bgColor theme="5" tint="0.39997558519241921"/>
        </patternFill>
      </fill>
    </dxf>
    <dxf>
      <numFmt numFmtId="2" formatCode="0.00"/>
    </dxf>
    <dxf>
      <alignment horizontal="center"/>
    </dxf>
    <dxf>
      <alignment horizontal="center"/>
    </dxf>
    <dxf>
      <numFmt numFmtId="2" formatCode="0.00"/>
    </dxf>
    <dxf>
      <numFmt numFmtId="2" formatCode="0.00"/>
    </dxf>
    <dxf>
      <alignment horizontal="center"/>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alignment horizontal="center"/>
    </dxf>
    <dxf>
      <alignment horizontal="center"/>
    </dxf>
    <dxf>
      <alignment vertical="center"/>
    </dxf>
    <dxf>
      <alignment vertical="center"/>
    </dxf>
    <dxf>
      <fill>
        <patternFill patternType="solid">
          <bgColor theme="8" tint="0.59999389629810485"/>
        </patternFill>
      </fill>
    </dxf>
    <dxf>
      <fill>
        <patternFill patternType="solid">
          <bgColor theme="8"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horizontal="left"/>
    </dxf>
    <dxf>
      <alignment horizontal="left"/>
    </dxf>
    <dxf>
      <alignment horizontal="center"/>
    </dxf>
    <dxf>
      <alignment horizontal="center"/>
    </dxf>
    <dxf>
      <alignment horizontal="right"/>
    </dxf>
    <dxf>
      <alignment horizontal="right"/>
    </dxf>
    <dxf>
      <numFmt numFmtId="2" formatCode="0.00"/>
    </dxf>
    <dxf>
      <numFmt numFmtId="2" formatCode="0.00"/>
    </dxf>
    <dxf>
      <alignment vertical="center"/>
    </dxf>
    <dxf>
      <alignment vertical="center"/>
    </dxf>
    <dxf>
      <fill>
        <patternFill patternType="solid">
          <bgColor theme="5" tint="0.39997558519241921"/>
        </patternFill>
      </fill>
    </dxf>
    <dxf>
      <fill>
        <patternFill patternType="solid">
          <bgColor theme="5" tint="0.39997558519241921"/>
        </patternFill>
      </fill>
    </dxf>
    <dxf>
      <numFmt numFmtId="2" formatCode="0.00"/>
    </dxf>
    <dxf>
      <alignment horizontal="center"/>
    </dxf>
    <dxf>
      <alignment horizontal="center"/>
    </dxf>
    <dxf>
      <numFmt numFmtId="2" formatCode="0.00"/>
    </dxf>
    <dxf>
      <numFmt numFmtId="2" formatCode="0.00"/>
    </dxf>
    <dxf>
      <alignment horizontal="center"/>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alignment horizontal="center"/>
    </dxf>
    <dxf>
      <alignment horizontal="center"/>
    </dxf>
    <dxf>
      <alignment vertical="center"/>
    </dxf>
    <dxf>
      <alignment vertical="center"/>
    </dxf>
    <dxf>
      <fill>
        <patternFill patternType="solid">
          <bgColor theme="8" tint="0.59999389629810485"/>
        </patternFill>
      </fill>
    </dxf>
    <dxf>
      <fill>
        <patternFill patternType="solid">
          <bgColor theme="8"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horizontal="left"/>
    </dxf>
    <dxf>
      <alignment horizontal="left"/>
    </dxf>
    <dxf>
      <alignment horizontal="center"/>
    </dxf>
    <dxf>
      <alignment horizontal="center"/>
    </dxf>
    <dxf>
      <alignment horizontal="right"/>
    </dxf>
    <dxf>
      <alignment horizontal="right"/>
    </dxf>
    <dxf>
      <numFmt numFmtId="2" formatCode="0.00"/>
    </dxf>
    <dxf>
      <numFmt numFmtId="2" formatCode="0.00"/>
    </dxf>
    <dxf>
      <alignment vertical="center"/>
    </dxf>
    <dxf>
      <alignment vertical="center"/>
    </dxf>
    <dxf>
      <fill>
        <patternFill patternType="solid">
          <bgColor theme="5" tint="0.39997558519241921"/>
        </patternFill>
      </fill>
    </dxf>
    <dxf>
      <fill>
        <patternFill patternType="solid">
          <bgColor theme="5" tint="0.39997558519241921"/>
        </patternFill>
      </fill>
    </dxf>
    <dxf>
      <numFmt numFmtId="2" formatCode="0.00"/>
    </dxf>
    <dxf>
      <alignment horizontal="center"/>
    </dxf>
    <dxf>
      <alignment horizontal="center"/>
    </dxf>
    <dxf>
      <numFmt numFmtId="2" formatCode="0.00"/>
    </dxf>
    <dxf>
      <numFmt numFmtId="2" formatCode="0.00"/>
    </dxf>
    <dxf>
      <alignment horizontal="center"/>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alignment horizontal="center"/>
    </dxf>
    <dxf>
      <alignment horizontal="center"/>
    </dxf>
    <dxf>
      <alignment vertical="center"/>
    </dxf>
    <dxf>
      <alignment vertical="center"/>
    </dxf>
    <dxf>
      <fill>
        <patternFill patternType="solid">
          <bgColor theme="8" tint="0.59999389629810485"/>
        </patternFill>
      </fill>
    </dxf>
    <dxf>
      <fill>
        <patternFill patternType="solid">
          <bgColor theme="8"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horizontal="left"/>
    </dxf>
    <dxf>
      <alignment horizontal="left"/>
    </dxf>
    <dxf>
      <alignment horizontal="center"/>
    </dxf>
    <dxf>
      <alignment horizontal="center"/>
    </dxf>
    <dxf>
      <alignment horizontal="right"/>
    </dxf>
    <dxf>
      <alignment horizontal="right"/>
    </dxf>
    <dxf>
      <numFmt numFmtId="2" formatCode="0.00"/>
    </dxf>
    <dxf>
      <numFmt numFmtId="2" formatCode="0.00"/>
    </dxf>
    <dxf>
      <alignment vertical="center"/>
    </dxf>
    <dxf>
      <alignment vertical="center"/>
    </dxf>
    <dxf>
      <fill>
        <patternFill patternType="solid">
          <bgColor theme="5" tint="0.39997558519241921"/>
        </patternFill>
      </fill>
    </dxf>
    <dxf>
      <fill>
        <patternFill patternType="solid">
          <bgColor theme="5" tint="0.39997558519241921"/>
        </patternFill>
      </fill>
    </dxf>
    <dxf>
      <numFmt numFmtId="2" formatCode="0.00"/>
    </dxf>
    <dxf>
      <alignment horizontal="center"/>
    </dxf>
    <dxf>
      <alignment horizontal="center"/>
    </dxf>
    <dxf>
      <numFmt numFmtId="2" formatCode="0.00"/>
    </dxf>
    <dxf>
      <numFmt numFmtId="2" formatCode="0.00"/>
    </dxf>
    <dxf>
      <alignment horizontal="center"/>
    </dxf>
    <dxf>
      <alignment horizontal="center"/>
    </dxf>
    <dxf>
      <numFmt numFmtId="2" formatCode="0.00"/>
    </dxf>
    <dxf>
      <alignment horizontal="center"/>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alignment horizontal="center"/>
    </dxf>
    <dxf>
      <alignment horizontal="center"/>
    </dxf>
    <dxf>
      <alignment vertical="center"/>
    </dxf>
    <dxf>
      <alignment vertical="center"/>
    </dxf>
    <dxf>
      <fill>
        <patternFill patternType="solid">
          <bgColor theme="8" tint="0.59999389629810485"/>
        </patternFill>
      </fill>
    </dxf>
    <dxf>
      <fill>
        <patternFill patternType="solid">
          <bgColor theme="8"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horizontal="left"/>
    </dxf>
    <dxf>
      <alignment horizontal="left"/>
    </dxf>
    <dxf>
      <alignment horizontal="center"/>
    </dxf>
    <dxf>
      <alignment horizontal="center"/>
    </dxf>
    <dxf>
      <alignment horizontal="right"/>
    </dxf>
    <dxf>
      <alignment horizontal="right"/>
    </dxf>
    <dxf>
      <numFmt numFmtId="2" formatCode="0.00"/>
    </dxf>
    <dxf>
      <numFmt numFmtId="2" formatCode="0.00"/>
    </dxf>
    <dxf>
      <alignment vertical="center"/>
    </dxf>
    <dxf>
      <alignment vertical="center"/>
    </dxf>
    <dxf>
      <fill>
        <patternFill patternType="solid">
          <bgColor theme="5" tint="0.39997558519241921"/>
        </patternFill>
      </fill>
    </dxf>
    <dxf>
      <fill>
        <patternFill patternType="solid">
          <bgColor theme="5" tint="0.39997558519241921"/>
        </patternFill>
      </fill>
    </dxf>
    <dxf>
      <numFmt numFmtId="2" formatCode="0.00"/>
    </dxf>
    <dxf>
      <alignment horizontal="center"/>
    </dxf>
    <dxf>
      <alignment horizontal="center"/>
    </dxf>
    <dxf>
      <numFmt numFmtId="2" formatCode="0.00"/>
    </dxf>
    <dxf>
      <numFmt numFmtId="2" formatCode="0.00"/>
    </dxf>
    <dxf>
      <alignment horizontal="center"/>
    </dxf>
    <dxf>
      <alignment horizontal="center"/>
    </dxf>
    <dxf>
      <numFmt numFmtId="2" formatCode="0.00"/>
    </dxf>
    <dxf>
      <alignment horizontal="center"/>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alignment horizontal="center"/>
    </dxf>
    <dxf>
      <alignment horizontal="center"/>
    </dxf>
    <dxf>
      <alignment vertical="center"/>
    </dxf>
    <dxf>
      <alignment vertical="center"/>
    </dxf>
    <dxf>
      <fill>
        <patternFill patternType="solid">
          <bgColor theme="8" tint="0.59999389629810485"/>
        </patternFill>
      </fill>
    </dxf>
    <dxf>
      <fill>
        <patternFill patternType="solid">
          <bgColor theme="8"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horizontal="left"/>
    </dxf>
    <dxf>
      <alignment horizontal="left"/>
    </dxf>
    <dxf>
      <alignment horizontal="center"/>
    </dxf>
    <dxf>
      <alignment horizontal="center"/>
    </dxf>
    <dxf>
      <alignment horizontal="right"/>
    </dxf>
    <dxf>
      <alignment horizontal="right"/>
    </dxf>
    <dxf>
      <numFmt numFmtId="2" formatCode="0.00"/>
    </dxf>
    <dxf>
      <numFmt numFmtId="2" formatCode="0.00"/>
    </dxf>
    <dxf>
      <alignment vertical="center"/>
    </dxf>
    <dxf>
      <alignment vertical="center"/>
    </dxf>
    <dxf>
      <fill>
        <patternFill patternType="solid">
          <bgColor theme="5" tint="0.39997558519241921"/>
        </patternFill>
      </fill>
    </dxf>
    <dxf>
      <fill>
        <patternFill patternType="solid">
          <bgColor theme="5" tint="0.39997558519241921"/>
        </patternFill>
      </fill>
    </dxf>
    <dxf>
      <numFmt numFmtId="2" formatCode="0.00"/>
    </dxf>
    <dxf>
      <alignment horizontal="center"/>
    </dxf>
    <dxf>
      <alignment horizontal="center"/>
    </dxf>
    <dxf>
      <numFmt numFmtId="2" formatCode="0.00"/>
    </dxf>
    <dxf>
      <numFmt numFmtId="2" formatCode="0.00"/>
    </dxf>
    <dxf>
      <alignment horizontal="center"/>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alignment horizontal="center"/>
    </dxf>
    <dxf>
      <alignment horizontal="center"/>
    </dxf>
    <dxf>
      <alignment vertical="center"/>
    </dxf>
    <dxf>
      <alignment vertical="center"/>
    </dxf>
    <dxf>
      <fill>
        <patternFill patternType="solid">
          <bgColor theme="8" tint="0.59999389629810485"/>
        </patternFill>
      </fill>
    </dxf>
    <dxf>
      <fill>
        <patternFill patternType="solid">
          <bgColor theme="8"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horizontal="left"/>
    </dxf>
    <dxf>
      <alignment horizontal="left"/>
    </dxf>
    <dxf>
      <alignment horizontal="center"/>
    </dxf>
    <dxf>
      <alignment horizontal="center"/>
    </dxf>
    <dxf>
      <alignment horizontal="right"/>
    </dxf>
    <dxf>
      <alignment horizontal="right"/>
    </dxf>
    <dxf>
      <numFmt numFmtId="2" formatCode="0.00"/>
    </dxf>
    <dxf>
      <numFmt numFmtId="2" formatCode="0.00"/>
    </dxf>
    <dxf>
      <alignment vertical="center"/>
    </dxf>
    <dxf>
      <alignment vertical="center"/>
    </dxf>
    <dxf>
      <fill>
        <patternFill patternType="solid">
          <bgColor theme="5" tint="0.39997558519241921"/>
        </patternFill>
      </fill>
    </dxf>
    <dxf>
      <fill>
        <patternFill patternType="solid">
          <bgColor theme="5" tint="0.39997558519241921"/>
        </patternFill>
      </fill>
    </dxf>
    <dxf>
      <numFmt numFmtId="2" formatCode="0.00"/>
    </dxf>
    <dxf>
      <alignment horizontal="center"/>
    </dxf>
    <dxf>
      <alignment horizontal="center"/>
    </dxf>
    <dxf>
      <numFmt numFmtId="2" formatCode="0.00"/>
    </dxf>
    <dxf>
      <numFmt numFmtId="2" formatCode="0.00"/>
    </dxf>
    <dxf>
      <alignment horizontal="center"/>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alignment horizontal="center"/>
    </dxf>
    <dxf>
      <alignment horizontal="center"/>
    </dxf>
    <dxf>
      <alignment vertical="center"/>
    </dxf>
    <dxf>
      <alignment vertical="center"/>
    </dxf>
    <dxf>
      <fill>
        <patternFill patternType="solid">
          <bgColor theme="8" tint="0.59999389629810485"/>
        </patternFill>
      </fill>
    </dxf>
    <dxf>
      <fill>
        <patternFill patternType="solid">
          <bgColor theme="8"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horizontal="left"/>
    </dxf>
    <dxf>
      <alignment horizontal="left"/>
    </dxf>
    <dxf>
      <alignment horizontal="center"/>
    </dxf>
    <dxf>
      <alignment horizontal="center"/>
    </dxf>
    <dxf>
      <alignment horizontal="right"/>
    </dxf>
    <dxf>
      <alignment horizontal="right"/>
    </dxf>
    <dxf>
      <numFmt numFmtId="2" formatCode="0.00"/>
    </dxf>
    <dxf>
      <numFmt numFmtId="2" formatCode="0.00"/>
    </dxf>
    <dxf>
      <alignment vertical="center"/>
    </dxf>
    <dxf>
      <alignment vertical="center"/>
    </dxf>
    <dxf>
      <fill>
        <patternFill patternType="solid">
          <bgColor theme="5" tint="0.39997558519241921"/>
        </patternFill>
      </fill>
    </dxf>
    <dxf>
      <fill>
        <patternFill patternType="solid">
          <bgColor theme="5" tint="0.39997558519241921"/>
        </patternFill>
      </fill>
    </dxf>
    <dxf>
      <numFmt numFmtId="2" formatCode="0.00"/>
    </dxf>
    <dxf>
      <alignment horizontal="center"/>
    </dxf>
    <dxf>
      <alignment horizontal="center"/>
    </dxf>
    <dxf>
      <numFmt numFmtId="2" formatCode="0.00"/>
    </dxf>
    <dxf>
      <numFmt numFmtId="2" formatCode="0.00"/>
    </dxf>
    <dxf>
      <alignment horizontal="center"/>
    </dxf>
    <dxf>
      <alignment horizontal="center"/>
    </dxf>
    <dxf>
      <numFmt numFmtId="2" formatCode="0.00"/>
    </dxf>
    <dxf>
      <alignment horizontal="center"/>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alignment horizontal="center"/>
    </dxf>
    <dxf>
      <alignment horizontal="center"/>
    </dxf>
    <dxf>
      <alignment vertical="center"/>
    </dxf>
    <dxf>
      <alignment vertical="center"/>
    </dxf>
    <dxf>
      <fill>
        <patternFill patternType="solid">
          <bgColor theme="8" tint="0.59999389629810485"/>
        </patternFill>
      </fill>
    </dxf>
    <dxf>
      <fill>
        <patternFill patternType="solid">
          <bgColor theme="8"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horizontal="left"/>
    </dxf>
    <dxf>
      <alignment horizontal="left"/>
    </dxf>
    <dxf>
      <alignment horizontal="center"/>
    </dxf>
    <dxf>
      <alignment horizontal="center"/>
    </dxf>
    <dxf>
      <alignment horizontal="right"/>
    </dxf>
    <dxf>
      <alignment horizontal="right"/>
    </dxf>
    <dxf>
      <numFmt numFmtId="2" formatCode="0.00"/>
    </dxf>
    <dxf>
      <numFmt numFmtId="2" formatCode="0.00"/>
    </dxf>
    <dxf>
      <alignment vertical="center"/>
    </dxf>
    <dxf>
      <alignment vertical="center"/>
    </dxf>
    <dxf>
      <fill>
        <patternFill patternType="solid">
          <bgColor theme="5" tint="0.39997558519241921"/>
        </patternFill>
      </fill>
    </dxf>
    <dxf>
      <fill>
        <patternFill patternType="solid">
          <bgColor theme="5" tint="0.39997558519241921"/>
        </patternFill>
      </fill>
    </dxf>
    <dxf>
      <numFmt numFmtId="2" formatCode="0.00"/>
    </dxf>
    <dxf>
      <alignment horizontal="center"/>
    </dxf>
    <dxf>
      <alignment horizontal="center"/>
    </dxf>
    <dxf>
      <numFmt numFmtId="2" formatCode="0.00"/>
    </dxf>
    <dxf>
      <numFmt numFmtId="2" formatCode="0.00"/>
    </dxf>
    <dxf>
      <alignment horizontal="center"/>
    </dxf>
    <dxf>
      <alignment horizontal="center"/>
    </dxf>
    <dxf>
      <numFmt numFmtId="2" formatCode="0.00"/>
    </dxf>
    <dxf>
      <alignment horizontal="center"/>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alignment horizontal="center"/>
    </dxf>
    <dxf>
      <alignment horizontal="center"/>
    </dxf>
    <dxf>
      <alignment vertical="center"/>
    </dxf>
    <dxf>
      <alignment vertical="center"/>
    </dxf>
    <dxf>
      <fill>
        <patternFill patternType="solid">
          <bgColor theme="8" tint="0.59999389629810485"/>
        </patternFill>
      </fill>
    </dxf>
    <dxf>
      <fill>
        <patternFill patternType="solid">
          <bgColor theme="8"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horizontal="left"/>
    </dxf>
    <dxf>
      <alignment horizontal="left"/>
    </dxf>
    <dxf>
      <alignment horizontal="center"/>
    </dxf>
    <dxf>
      <alignment horizontal="center"/>
    </dxf>
    <dxf>
      <alignment horizontal="right"/>
    </dxf>
    <dxf>
      <alignment horizontal="right"/>
    </dxf>
    <dxf>
      <numFmt numFmtId="2" formatCode="0.00"/>
    </dxf>
    <dxf>
      <numFmt numFmtId="2" formatCode="0.00"/>
    </dxf>
    <dxf>
      <alignment vertical="center"/>
    </dxf>
    <dxf>
      <alignment vertical="center"/>
    </dxf>
    <dxf>
      <fill>
        <patternFill patternType="solid">
          <bgColor theme="5" tint="0.39997558519241921"/>
        </patternFill>
      </fill>
    </dxf>
    <dxf>
      <fill>
        <patternFill patternType="solid">
          <bgColor theme="5" tint="0.39997558519241921"/>
        </patternFill>
      </fill>
    </dxf>
    <dxf>
      <numFmt numFmtId="2" formatCode="0.00"/>
    </dxf>
    <dxf>
      <alignment horizontal="center"/>
    </dxf>
    <dxf>
      <alignment horizontal="center"/>
    </dxf>
    <dxf>
      <numFmt numFmtId="2" formatCode="0.00"/>
    </dxf>
    <dxf>
      <numFmt numFmtId="2" formatCode="0.00"/>
    </dxf>
    <dxf>
      <alignment horizontal="center"/>
    </dxf>
    <dxf>
      <alignment horizontal="center"/>
    </dxf>
    <dxf>
      <numFmt numFmtId="2" formatCode="0.00"/>
    </dxf>
    <dxf>
      <alignment horizontal="center"/>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alignment horizontal="center"/>
    </dxf>
    <dxf>
      <alignment horizontal="center"/>
    </dxf>
    <dxf>
      <alignment vertical="center"/>
    </dxf>
    <dxf>
      <alignment vertical="center"/>
    </dxf>
    <dxf>
      <fill>
        <patternFill patternType="solid">
          <bgColor theme="8" tint="0.59999389629810485"/>
        </patternFill>
      </fill>
    </dxf>
    <dxf>
      <fill>
        <patternFill patternType="solid">
          <bgColor theme="8"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horizontal="left"/>
    </dxf>
    <dxf>
      <alignment horizontal="left"/>
    </dxf>
    <dxf>
      <alignment horizontal="center"/>
    </dxf>
    <dxf>
      <alignment horizontal="center"/>
    </dxf>
    <dxf>
      <alignment horizontal="right"/>
    </dxf>
    <dxf>
      <alignment horizontal="right"/>
    </dxf>
    <dxf>
      <numFmt numFmtId="2" formatCode="0.00"/>
    </dxf>
    <dxf>
      <numFmt numFmtId="2" formatCode="0.00"/>
    </dxf>
    <dxf>
      <alignment vertical="center"/>
    </dxf>
    <dxf>
      <alignment vertical="center"/>
    </dxf>
    <dxf>
      <fill>
        <patternFill patternType="solid">
          <bgColor theme="5" tint="0.39997558519241921"/>
        </patternFill>
      </fill>
    </dxf>
    <dxf>
      <fill>
        <patternFill patternType="solid">
          <bgColor theme="5" tint="0.39997558519241921"/>
        </patternFill>
      </fill>
    </dxf>
    <dxf>
      <numFmt numFmtId="2" formatCode="0.00"/>
    </dxf>
    <dxf>
      <alignment horizontal="center"/>
    </dxf>
    <dxf>
      <alignment horizontal="center"/>
    </dxf>
    <dxf>
      <numFmt numFmtId="2" formatCode="0.00"/>
    </dxf>
    <dxf>
      <numFmt numFmtId="2" formatCode="0.00"/>
    </dxf>
    <dxf>
      <alignment horizontal="center"/>
    </dxf>
    <dxf>
      <alignment horizontal="center"/>
    </dxf>
    <dxf>
      <numFmt numFmtId="2" formatCode="0.00"/>
    </dxf>
    <dxf>
      <alignment horizontal="center"/>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alignment horizontal="center"/>
    </dxf>
    <dxf>
      <alignment horizontal="center"/>
    </dxf>
    <dxf>
      <alignment vertical="center"/>
    </dxf>
    <dxf>
      <alignment vertical="center"/>
    </dxf>
    <dxf>
      <fill>
        <patternFill patternType="solid">
          <bgColor theme="8" tint="0.59999389629810485"/>
        </patternFill>
      </fill>
    </dxf>
    <dxf>
      <fill>
        <patternFill patternType="solid">
          <bgColor theme="8"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horizontal="left"/>
    </dxf>
    <dxf>
      <alignment horizontal="left"/>
    </dxf>
    <dxf>
      <alignment horizontal="center"/>
    </dxf>
    <dxf>
      <alignment horizontal="center"/>
    </dxf>
    <dxf>
      <alignment horizontal="right"/>
    </dxf>
    <dxf>
      <alignment horizontal="right"/>
    </dxf>
    <dxf>
      <numFmt numFmtId="2" formatCode="0.00"/>
    </dxf>
    <dxf>
      <numFmt numFmtId="2" formatCode="0.00"/>
    </dxf>
    <dxf>
      <alignment vertical="center"/>
    </dxf>
    <dxf>
      <alignment vertical="center"/>
    </dxf>
    <dxf>
      <fill>
        <patternFill patternType="solid">
          <bgColor theme="5" tint="0.39997558519241921"/>
        </patternFill>
      </fill>
    </dxf>
    <dxf>
      <fill>
        <patternFill patternType="solid">
          <bgColor theme="5" tint="0.39997558519241921"/>
        </patternFill>
      </fill>
    </dxf>
    <dxf>
      <numFmt numFmtId="2" formatCode="0.00"/>
    </dxf>
    <dxf>
      <alignment horizontal="center"/>
    </dxf>
    <dxf>
      <alignment horizontal="center"/>
    </dxf>
    <dxf>
      <numFmt numFmtId="2" formatCode="0.00"/>
    </dxf>
    <dxf>
      <numFmt numFmtId="2" formatCode="0.00"/>
    </dxf>
    <dxf>
      <alignment horizontal="center"/>
    </dxf>
    <dxf>
      <alignment horizontal="center"/>
    </dxf>
    <dxf>
      <numFmt numFmtId="2" formatCode="0.00"/>
    </dxf>
    <dxf>
      <alignment horizontal="center"/>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alignment horizontal="center"/>
    </dxf>
    <dxf>
      <alignment horizontal="center"/>
    </dxf>
    <dxf>
      <alignment vertical="center"/>
    </dxf>
    <dxf>
      <alignment vertical="center"/>
    </dxf>
    <dxf>
      <fill>
        <patternFill patternType="solid">
          <bgColor theme="8" tint="0.59999389629810485"/>
        </patternFill>
      </fill>
    </dxf>
    <dxf>
      <fill>
        <patternFill patternType="solid">
          <bgColor theme="8"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horizontal="left"/>
    </dxf>
    <dxf>
      <alignment horizontal="left"/>
    </dxf>
    <dxf>
      <alignment horizontal="center"/>
    </dxf>
    <dxf>
      <alignment horizontal="center"/>
    </dxf>
    <dxf>
      <alignment horizontal="right"/>
    </dxf>
    <dxf>
      <alignment horizontal="right"/>
    </dxf>
    <dxf>
      <numFmt numFmtId="2" formatCode="0.00"/>
    </dxf>
    <dxf>
      <numFmt numFmtId="2" formatCode="0.00"/>
    </dxf>
    <dxf>
      <alignment vertical="center"/>
    </dxf>
    <dxf>
      <alignment vertical="center"/>
    </dxf>
    <dxf>
      <fill>
        <patternFill patternType="solid">
          <bgColor theme="5" tint="0.39997558519241921"/>
        </patternFill>
      </fill>
    </dxf>
    <dxf>
      <fill>
        <patternFill patternType="solid">
          <bgColor theme="5" tint="0.39997558519241921"/>
        </patternFill>
      </fill>
    </dxf>
    <dxf>
      <numFmt numFmtId="2" formatCode="0.00"/>
    </dxf>
    <dxf>
      <alignment horizontal="center"/>
    </dxf>
    <dxf>
      <alignment horizontal="center"/>
    </dxf>
    <dxf>
      <numFmt numFmtId="2" formatCode="0.00"/>
    </dxf>
    <dxf>
      <numFmt numFmtId="2" formatCode="0.00"/>
    </dxf>
    <dxf>
      <alignment horizontal="center"/>
    </dxf>
    <dxf>
      <alignment horizontal="center"/>
    </dxf>
    <dxf>
      <numFmt numFmtId="2" formatCode="0.00"/>
    </dxf>
    <dxf>
      <alignment horizontal="center"/>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alignment horizontal="center"/>
    </dxf>
    <dxf>
      <alignment horizontal="center"/>
    </dxf>
    <dxf>
      <alignment vertical="center"/>
    </dxf>
    <dxf>
      <alignment vertical="center"/>
    </dxf>
    <dxf>
      <fill>
        <patternFill patternType="solid">
          <bgColor theme="8" tint="0.59999389629810485"/>
        </patternFill>
      </fill>
    </dxf>
    <dxf>
      <fill>
        <patternFill patternType="solid">
          <bgColor theme="8"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horizontal="left"/>
    </dxf>
    <dxf>
      <alignment horizontal="left"/>
    </dxf>
    <dxf>
      <alignment horizontal="center"/>
    </dxf>
    <dxf>
      <alignment horizontal="center"/>
    </dxf>
    <dxf>
      <alignment horizontal="right"/>
    </dxf>
    <dxf>
      <alignment horizontal="right"/>
    </dxf>
    <dxf>
      <numFmt numFmtId="2" formatCode="0.00"/>
    </dxf>
    <dxf>
      <numFmt numFmtId="2" formatCode="0.00"/>
    </dxf>
    <dxf>
      <alignment vertical="center"/>
    </dxf>
    <dxf>
      <alignment vertical="center"/>
    </dxf>
    <dxf>
      <fill>
        <patternFill patternType="solid">
          <bgColor theme="5" tint="0.39997558519241921"/>
        </patternFill>
      </fill>
    </dxf>
    <dxf>
      <fill>
        <patternFill patternType="solid">
          <bgColor theme="5" tint="0.39997558519241921"/>
        </patternFill>
      </fill>
    </dxf>
    <dxf>
      <numFmt numFmtId="2" formatCode="0.00"/>
    </dxf>
    <dxf>
      <alignment horizontal="center"/>
    </dxf>
    <dxf>
      <alignment horizontal="center"/>
    </dxf>
    <dxf>
      <numFmt numFmtId="2" formatCode="0.00"/>
    </dxf>
    <dxf>
      <numFmt numFmtId="2" formatCode="0.00"/>
    </dxf>
    <dxf>
      <alignment horizontal="center"/>
    </dxf>
    <dxf>
      <alignment horizontal="center"/>
    </dxf>
    <dxf>
      <numFmt numFmtId="2" formatCode="0.00"/>
    </dxf>
    <dxf>
      <alignment horizontal="center"/>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alignment horizontal="center"/>
    </dxf>
    <dxf>
      <alignment horizontal="center"/>
    </dxf>
    <dxf>
      <alignment vertical="center"/>
    </dxf>
    <dxf>
      <alignment vertical="center"/>
    </dxf>
    <dxf>
      <fill>
        <patternFill patternType="solid">
          <bgColor theme="8" tint="0.59999389629810485"/>
        </patternFill>
      </fill>
    </dxf>
    <dxf>
      <fill>
        <patternFill patternType="solid">
          <bgColor theme="8"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horizontal="left"/>
    </dxf>
    <dxf>
      <alignment horizontal="left"/>
    </dxf>
    <dxf>
      <alignment horizontal="center"/>
    </dxf>
    <dxf>
      <alignment horizontal="center"/>
    </dxf>
    <dxf>
      <alignment horizontal="right"/>
    </dxf>
    <dxf>
      <alignment horizontal="right"/>
    </dxf>
    <dxf>
      <numFmt numFmtId="2" formatCode="0.00"/>
    </dxf>
    <dxf>
      <numFmt numFmtId="2" formatCode="0.00"/>
    </dxf>
    <dxf>
      <alignment vertical="center"/>
    </dxf>
    <dxf>
      <alignment vertical="center"/>
    </dxf>
    <dxf>
      <fill>
        <patternFill patternType="solid">
          <bgColor theme="5" tint="0.39997558519241921"/>
        </patternFill>
      </fill>
    </dxf>
    <dxf>
      <fill>
        <patternFill patternType="solid">
          <bgColor theme="5" tint="0.39997558519241921"/>
        </patternFill>
      </fill>
    </dxf>
    <dxf>
      <numFmt numFmtId="2" formatCode="0.00"/>
    </dxf>
    <dxf>
      <alignment horizontal="center"/>
    </dxf>
    <dxf>
      <alignment horizontal="center"/>
    </dxf>
    <dxf>
      <numFmt numFmtId="2" formatCode="0.00"/>
    </dxf>
    <dxf>
      <numFmt numFmtId="2" formatCode="0.00"/>
    </dxf>
    <dxf>
      <alignment horizontal="center"/>
    </dxf>
    <dxf>
      <alignment horizontal="center"/>
    </dxf>
    <dxf>
      <numFmt numFmtId="2" formatCode="0.00"/>
    </dxf>
    <dxf>
      <alignment horizontal="center"/>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alignment horizontal="center"/>
    </dxf>
    <dxf>
      <alignment horizontal="center"/>
    </dxf>
    <dxf>
      <alignment vertical="center"/>
    </dxf>
    <dxf>
      <alignment vertical="center"/>
    </dxf>
    <dxf>
      <fill>
        <patternFill patternType="solid">
          <bgColor theme="8" tint="0.59999389629810485"/>
        </patternFill>
      </fill>
    </dxf>
    <dxf>
      <fill>
        <patternFill patternType="solid">
          <bgColor theme="8"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horizontal="left"/>
    </dxf>
    <dxf>
      <alignment horizontal="left"/>
    </dxf>
    <dxf>
      <alignment horizontal="center"/>
    </dxf>
    <dxf>
      <alignment horizontal="center"/>
    </dxf>
    <dxf>
      <alignment horizontal="right"/>
    </dxf>
    <dxf>
      <alignment horizontal="right"/>
    </dxf>
    <dxf>
      <numFmt numFmtId="2" formatCode="0.00"/>
    </dxf>
    <dxf>
      <numFmt numFmtId="2" formatCode="0.00"/>
    </dxf>
    <dxf>
      <alignment vertical="center"/>
    </dxf>
    <dxf>
      <alignment vertical="center"/>
    </dxf>
    <dxf>
      <fill>
        <patternFill patternType="solid">
          <bgColor theme="5" tint="0.39997558519241921"/>
        </patternFill>
      </fill>
    </dxf>
    <dxf>
      <fill>
        <patternFill patternType="solid">
          <bgColor theme="5" tint="0.39997558519241921"/>
        </patternFill>
      </fill>
    </dxf>
    <dxf>
      <numFmt numFmtId="2" formatCode="0.00"/>
    </dxf>
    <dxf>
      <alignment horizontal="center"/>
    </dxf>
    <dxf>
      <alignment horizontal="center"/>
    </dxf>
    <dxf>
      <numFmt numFmtId="2" formatCode="0.00"/>
    </dxf>
    <dxf>
      <numFmt numFmtId="2" formatCode="0.00"/>
    </dxf>
    <dxf>
      <alignment horizontal="center"/>
    </dxf>
    <dxf>
      <alignment horizontal="center"/>
    </dxf>
    <dxf>
      <numFmt numFmtId="2" formatCode="0.00"/>
    </dxf>
    <dxf>
      <alignment horizontal="center"/>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alignment horizontal="center"/>
    </dxf>
    <dxf>
      <alignment horizontal="center"/>
    </dxf>
    <dxf>
      <alignment vertical="center"/>
    </dxf>
    <dxf>
      <alignment vertical="center"/>
    </dxf>
    <dxf>
      <fill>
        <patternFill patternType="solid">
          <bgColor theme="8" tint="0.59999389629810485"/>
        </patternFill>
      </fill>
    </dxf>
    <dxf>
      <fill>
        <patternFill patternType="solid">
          <bgColor theme="8"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horizontal="left"/>
    </dxf>
    <dxf>
      <alignment horizontal="left"/>
    </dxf>
    <dxf>
      <alignment horizontal="center"/>
    </dxf>
    <dxf>
      <alignment horizontal="center"/>
    </dxf>
    <dxf>
      <alignment horizontal="right"/>
    </dxf>
    <dxf>
      <alignment horizontal="right"/>
    </dxf>
    <dxf>
      <numFmt numFmtId="2" formatCode="0.00"/>
    </dxf>
    <dxf>
      <numFmt numFmtId="2" formatCode="0.00"/>
    </dxf>
    <dxf>
      <alignment vertical="center"/>
    </dxf>
    <dxf>
      <alignment vertical="center"/>
    </dxf>
    <dxf>
      <fill>
        <patternFill patternType="solid">
          <bgColor theme="5" tint="0.39997558519241921"/>
        </patternFill>
      </fill>
    </dxf>
    <dxf>
      <fill>
        <patternFill patternType="solid">
          <bgColor theme="5" tint="0.39997558519241921"/>
        </patternFill>
      </fill>
    </dxf>
    <dxf>
      <numFmt numFmtId="2" formatCode="0.00"/>
    </dxf>
    <dxf>
      <alignment horizontal="center"/>
    </dxf>
    <dxf>
      <alignment horizontal="center"/>
    </dxf>
    <dxf>
      <numFmt numFmtId="2" formatCode="0.00"/>
    </dxf>
    <dxf>
      <numFmt numFmtId="2" formatCode="0.00"/>
    </dxf>
    <dxf>
      <alignment horizontal="center"/>
    </dxf>
    <dxf>
      <alignment horizontal="center"/>
    </dxf>
    <dxf>
      <numFmt numFmtId="2" formatCode="0.00"/>
    </dxf>
    <dxf>
      <alignment horizontal="center"/>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alignment horizontal="center"/>
    </dxf>
    <dxf>
      <alignment horizontal="center"/>
    </dxf>
    <dxf>
      <alignment vertical="center"/>
    </dxf>
    <dxf>
      <alignment vertical="center"/>
    </dxf>
    <dxf>
      <fill>
        <patternFill patternType="solid">
          <bgColor theme="8" tint="0.59999389629810485"/>
        </patternFill>
      </fill>
    </dxf>
    <dxf>
      <fill>
        <patternFill patternType="solid">
          <bgColor theme="8"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horizontal="left"/>
    </dxf>
    <dxf>
      <alignment horizontal="left"/>
    </dxf>
    <dxf>
      <alignment horizontal="center"/>
    </dxf>
    <dxf>
      <alignment horizontal="center"/>
    </dxf>
    <dxf>
      <alignment horizontal="right"/>
    </dxf>
    <dxf>
      <alignment horizontal="right"/>
    </dxf>
    <dxf>
      <numFmt numFmtId="2" formatCode="0.00"/>
    </dxf>
    <dxf>
      <numFmt numFmtId="2" formatCode="0.00"/>
    </dxf>
    <dxf>
      <alignment vertical="center"/>
    </dxf>
    <dxf>
      <alignment vertical="center"/>
    </dxf>
    <dxf>
      <fill>
        <patternFill patternType="solid">
          <bgColor theme="5" tint="0.39997558519241921"/>
        </patternFill>
      </fill>
    </dxf>
    <dxf>
      <fill>
        <patternFill patternType="solid">
          <bgColor theme="5" tint="0.39997558519241921"/>
        </patternFill>
      </fill>
    </dxf>
    <dxf>
      <numFmt numFmtId="2" formatCode="0.00"/>
    </dxf>
    <dxf>
      <alignment horizontal="center"/>
    </dxf>
    <dxf>
      <alignment horizontal="center"/>
    </dxf>
    <dxf>
      <numFmt numFmtId="2" formatCode="0.00"/>
    </dxf>
    <dxf>
      <numFmt numFmtId="2" formatCode="0.00"/>
    </dxf>
    <dxf>
      <alignment horizontal="center"/>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alignment horizontal="center"/>
    </dxf>
    <dxf>
      <alignment horizontal="center"/>
    </dxf>
    <dxf>
      <alignment vertical="center"/>
    </dxf>
    <dxf>
      <alignment vertical="center"/>
    </dxf>
    <dxf>
      <fill>
        <patternFill patternType="solid">
          <bgColor theme="8" tint="0.59999389629810485"/>
        </patternFill>
      </fill>
    </dxf>
    <dxf>
      <fill>
        <patternFill patternType="solid">
          <bgColor theme="8" tint="0.59999389629810485"/>
        </patternFill>
      </fill>
    </dxf>
    <dxf>
      <numFmt numFmtId="2" formatCode="0.00"/>
    </dxf>
    <dxf>
      <alignment horizontal="center"/>
    </dxf>
    <dxf>
      <alignment horizontal="center"/>
    </dxf>
    <dxf>
      <numFmt numFmtId="2" formatCode="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alignment horizontal="center"/>
    </dxf>
    <dxf>
      <alignment horizontal="center"/>
    </dxf>
    <dxf>
      <alignment vertical="center"/>
    </dxf>
    <dxf>
      <alignment vertical="center"/>
    </dxf>
    <dxf>
      <fill>
        <patternFill patternType="solid">
          <bgColor theme="8" tint="0.59999389629810485"/>
        </patternFill>
      </fill>
    </dxf>
    <dxf>
      <fill>
        <patternFill patternType="solid">
          <bgColor theme="8" tint="0.59999389629810485"/>
        </patternFill>
      </fill>
    </dxf>
    <dxf>
      <numFmt numFmtId="2" formatCode="0.00"/>
    </dxf>
    <dxf>
      <alignment horizontal="center"/>
    </dxf>
    <dxf>
      <alignment horizontal="center"/>
    </dxf>
    <dxf>
      <numFmt numFmtId="2" formatCode="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alignment horizontal="center"/>
    </dxf>
    <dxf>
      <alignment horizontal="center"/>
    </dxf>
    <dxf>
      <alignment vertical="center"/>
    </dxf>
    <dxf>
      <alignment vertical="center"/>
    </dxf>
    <dxf>
      <fill>
        <patternFill patternType="solid">
          <bgColor theme="8" tint="0.59999389629810485"/>
        </patternFill>
      </fill>
    </dxf>
    <dxf>
      <fill>
        <patternFill patternType="solid">
          <bgColor theme="8" tint="0.59999389629810485"/>
        </patternFill>
      </fill>
    </dxf>
    <dxf>
      <numFmt numFmtId="2" formatCode="0.00"/>
    </dxf>
    <dxf>
      <alignment horizontal="center"/>
    </dxf>
    <dxf>
      <alignment horizontal="center"/>
    </dxf>
    <dxf>
      <numFmt numFmtId="2" formatCode="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alignment horizontal="center"/>
    </dxf>
    <dxf>
      <alignment horizontal="center"/>
    </dxf>
    <dxf>
      <alignment vertical="center"/>
    </dxf>
    <dxf>
      <alignment vertical="center"/>
    </dxf>
    <dxf>
      <fill>
        <patternFill patternType="solid">
          <bgColor theme="8" tint="0.59999389629810485"/>
        </patternFill>
      </fill>
    </dxf>
    <dxf>
      <fill>
        <patternFill patternType="solid">
          <bgColor theme="8" tint="0.59999389629810485"/>
        </patternFill>
      </fill>
    </dxf>
    <dxf>
      <numFmt numFmtId="2" formatCode="0.00"/>
    </dxf>
    <dxf>
      <alignment horizontal="center"/>
    </dxf>
    <dxf>
      <alignment horizontal="center"/>
    </dxf>
    <dxf>
      <numFmt numFmtId="2" formatCode="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alignment horizontal="center"/>
    </dxf>
    <dxf>
      <alignment horizontal="center"/>
    </dxf>
    <dxf>
      <alignment vertical="center"/>
    </dxf>
    <dxf>
      <alignment vertical="center"/>
    </dxf>
    <dxf>
      <fill>
        <patternFill patternType="solid">
          <bgColor theme="8" tint="0.59999389629810485"/>
        </patternFill>
      </fill>
    </dxf>
    <dxf>
      <fill>
        <patternFill patternType="solid">
          <bgColor theme="8" tint="0.59999389629810485"/>
        </patternFill>
      </fill>
    </dxf>
    <dxf>
      <numFmt numFmtId="2" formatCode="0.00"/>
    </dxf>
    <dxf>
      <alignment horizontal="center"/>
    </dxf>
    <dxf>
      <alignment horizontal="center"/>
    </dxf>
    <dxf>
      <numFmt numFmtId="2" formatCode="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alignment horizontal="center"/>
    </dxf>
    <dxf>
      <alignment horizontal="center"/>
    </dxf>
    <dxf>
      <alignment vertical="center"/>
    </dxf>
    <dxf>
      <alignment vertical="center"/>
    </dxf>
    <dxf>
      <fill>
        <patternFill patternType="solid">
          <bgColor theme="8" tint="0.59999389629810485"/>
        </patternFill>
      </fill>
    </dxf>
    <dxf>
      <fill>
        <patternFill patternType="solid">
          <bgColor theme="8" tint="0.59999389629810485"/>
        </patternFill>
      </fill>
    </dxf>
    <dxf>
      <numFmt numFmtId="2" formatCode="0.00"/>
    </dxf>
    <dxf>
      <alignment horizontal="center"/>
    </dxf>
    <dxf>
      <alignment horizontal="center"/>
    </dxf>
    <dxf>
      <numFmt numFmtId="2" formatCode="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alignment horizontal="center"/>
    </dxf>
    <dxf>
      <alignment horizontal="center"/>
    </dxf>
    <dxf>
      <alignment vertical="center"/>
    </dxf>
    <dxf>
      <alignment vertical="center"/>
    </dxf>
    <dxf>
      <fill>
        <patternFill patternType="solid">
          <bgColor theme="8" tint="0.59999389629810485"/>
        </patternFill>
      </fill>
    </dxf>
    <dxf>
      <fill>
        <patternFill patternType="solid">
          <bgColor theme="8" tint="0.59999389629810485"/>
        </patternFill>
      </fill>
    </dxf>
    <dxf>
      <numFmt numFmtId="2" formatCode="0.00"/>
    </dxf>
    <dxf>
      <alignment horizontal="center"/>
    </dxf>
    <dxf>
      <alignment horizontal="center"/>
    </dxf>
    <dxf>
      <numFmt numFmtId="2" formatCode="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alignment horizontal="center"/>
    </dxf>
    <dxf>
      <alignment horizontal="center"/>
    </dxf>
    <dxf>
      <alignment vertical="center"/>
    </dxf>
    <dxf>
      <alignment vertical="center"/>
    </dxf>
    <dxf>
      <fill>
        <patternFill patternType="solid">
          <bgColor theme="8" tint="0.59999389629810485"/>
        </patternFill>
      </fill>
    </dxf>
    <dxf>
      <fill>
        <patternFill patternType="solid">
          <bgColor theme="8" tint="0.59999389629810485"/>
        </patternFill>
      </fill>
    </dxf>
    <dxf>
      <numFmt numFmtId="2" formatCode="0.00"/>
    </dxf>
    <dxf>
      <alignment horizontal="center"/>
    </dxf>
    <dxf>
      <alignment horizontal="center"/>
    </dxf>
    <dxf>
      <numFmt numFmtId="2" formatCode="0.00"/>
    </dxf>
    <dxf>
      <numFmt numFmtId="2" formatCode="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alignment horizontal="center"/>
    </dxf>
    <dxf>
      <alignment horizontal="center"/>
    </dxf>
    <dxf>
      <alignment vertical="center"/>
    </dxf>
    <dxf>
      <alignment vertical="center"/>
    </dxf>
    <dxf>
      <fill>
        <patternFill patternType="solid">
          <bgColor theme="8" tint="0.59999389629810485"/>
        </patternFill>
      </fill>
    </dxf>
    <dxf>
      <fill>
        <patternFill patternType="solid">
          <bgColor theme="8" tint="0.59999389629810485"/>
        </patternFill>
      </fill>
    </dxf>
    <dxf>
      <numFmt numFmtId="2" formatCode="0.00"/>
    </dxf>
    <dxf>
      <alignment horizontal="center"/>
    </dxf>
    <dxf>
      <alignment horizontal="center"/>
    </dxf>
    <dxf>
      <numFmt numFmtId="2" formatCode="0.00"/>
    </dxf>
    <dxf>
      <numFmt numFmtId="2" formatCode="0.00"/>
    </dxf>
    <dxf>
      <numFmt numFmtId="2" formatCode="0.00"/>
    </dxf>
    <dxf>
      <numFmt numFmtId="2" formatCode="0.00"/>
    </dxf>
    <dxf>
      <numFmt numFmtId="2" formatCode="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alignment horizontal="center"/>
    </dxf>
    <dxf>
      <alignment horizontal="center"/>
    </dxf>
    <dxf>
      <alignment vertical="center"/>
    </dxf>
    <dxf>
      <alignment vertical="center"/>
    </dxf>
    <dxf>
      <fill>
        <patternFill patternType="solid">
          <bgColor theme="8" tint="0.59999389629810485"/>
        </patternFill>
      </fill>
    </dxf>
    <dxf>
      <fill>
        <patternFill patternType="solid">
          <bgColor theme="8"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horizontal="left"/>
    </dxf>
    <dxf>
      <alignment horizontal="left"/>
    </dxf>
    <dxf>
      <alignment horizontal="center"/>
    </dxf>
    <dxf>
      <alignment horizontal="center"/>
    </dxf>
    <dxf>
      <alignment horizontal="right"/>
    </dxf>
    <dxf>
      <alignment horizontal="right"/>
    </dxf>
    <dxf>
      <numFmt numFmtId="2" formatCode="0.00"/>
    </dxf>
    <dxf>
      <numFmt numFmtId="2" formatCode="0.00"/>
    </dxf>
    <dxf>
      <alignment vertical="center"/>
    </dxf>
    <dxf>
      <alignment vertical="center"/>
    </dxf>
    <dxf>
      <fill>
        <patternFill patternType="solid">
          <bgColor theme="5" tint="0.39997558519241921"/>
        </patternFill>
      </fill>
    </dxf>
    <dxf>
      <fill>
        <patternFill patternType="solid">
          <bgColor theme="5" tint="0.39997558519241921"/>
        </patternFill>
      </fill>
    </dxf>
    <dxf>
      <numFmt numFmtId="2" formatCode="0.00"/>
    </dxf>
    <dxf>
      <alignment horizontal="center"/>
    </dxf>
    <dxf>
      <alignment horizontal="center"/>
    </dxf>
    <dxf>
      <numFmt numFmtId="2" formatCode="0.00"/>
    </dxf>
    <dxf>
      <numFmt numFmtId="2" formatCode="0.00"/>
    </dxf>
    <dxf>
      <alignment horizontal="center"/>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alignment horizontal="center"/>
    </dxf>
    <dxf>
      <alignment horizontal="center"/>
    </dxf>
    <dxf>
      <alignment vertical="center"/>
    </dxf>
    <dxf>
      <alignment vertical="center"/>
    </dxf>
    <dxf>
      <fill>
        <patternFill patternType="solid">
          <bgColor theme="8" tint="0.59999389629810485"/>
        </patternFill>
      </fill>
    </dxf>
    <dxf>
      <fill>
        <patternFill patternType="solid">
          <bgColor theme="8"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horizontal="left"/>
    </dxf>
    <dxf>
      <alignment horizontal="left"/>
    </dxf>
    <dxf>
      <alignment horizontal="center"/>
    </dxf>
    <dxf>
      <alignment horizontal="center"/>
    </dxf>
    <dxf>
      <alignment horizontal="right"/>
    </dxf>
    <dxf>
      <alignment horizontal="right"/>
    </dxf>
    <dxf>
      <numFmt numFmtId="2" formatCode="0.00"/>
    </dxf>
    <dxf>
      <numFmt numFmtId="2" formatCode="0.00"/>
    </dxf>
    <dxf>
      <alignment vertical="center"/>
    </dxf>
    <dxf>
      <alignment vertical="center"/>
    </dxf>
    <dxf>
      <fill>
        <patternFill patternType="solid">
          <bgColor theme="5" tint="0.39997558519241921"/>
        </patternFill>
      </fill>
    </dxf>
    <dxf>
      <fill>
        <patternFill patternType="solid">
          <bgColor theme="5" tint="0.39997558519241921"/>
        </patternFill>
      </fill>
    </dxf>
    <dxf>
      <numFmt numFmtId="2" formatCode="0.00"/>
    </dxf>
    <dxf>
      <alignment horizontal="center"/>
    </dxf>
    <dxf>
      <alignment horizontal="center"/>
    </dxf>
    <dxf>
      <numFmt numFmtId="2" formatCode="0.00"/>
    </dxf>
    <dxf>
      <numFmt numFmtId="2" formatCode="0.00"/>
    </dxf>
    <dxf>
      <alignment horizontal="center"/>
    </dxf>
    <dxf>
      <alignment horizontal="center"/>
    </dxf>
    <dxf>
      <numFmt numFmtId="2" formatCode="0.0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alignment horizontal="center"/>
    </dxf>
    <dxf>
      <alignment horizontal="center"/>
    </dxf>
    <dxf>
      <alignment vertical="center"/>
    </dxf>
    <dxf>
      <alignment vertical="center"/>
    </dxf>
    <dxf>
      <fill>
        <patternFill patternType="solid">
          <bgColor theme="8" tint="0.59999389629810485"/>
        </patternFill>
      </fill>
    </dxf>
    <dxf>
      <fill>
        <patternFill patternType="solid">
          <bgColor theme="8"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horizontal="left"/>
    </dxf>
    <dxf>
      <alignment horizontal="left"/>
    </dxf>
    <dxf>
      <alignment horizontal="center"/>
    </dxf>
    <dxf>
      <alignment horizontal="center"/>
    </dxf>
    <dxf>
      <alignment horizontal="right"/>
    </dxf>
    <dxf>
      <alignment horizontal="right"/>
    </dxf>
    <dxf>
      <numFmt numFmtId="2" formatCode="0.00"/>
    </dxf>
    <dxf>
      <numFmt numFmtId="2" formatCode="0.00"/>
    </dxf>
    <dxf>
      <alignment vertical="center"/>
    </dxf>
    <dxf>
      <alignment vertical="center"/>
    </dxf>
    <dxf>
      <fill>
        <patternFill patternType="solid">
          <bgColor theme="5" tint="0.39997558519241921"/>
        </patternFill>
      </fill>
    </dxf>
    <dxf>
      <fill>
        <patternFill patternType="solid">
          <bgColor theme="5" tint="0.39997558519241921"/>
        </patternFill>
      </fill>
    </dxf>
    <dxf>
      <numFmt numFmtId="2" formatCode="0.00"/>
    </dxf>
    <dxf>
      <alignment horizontal="center"/>
    </dxf>
    <dxf>
      <alignment horizontal="center"/>
    </dxf>
    <dxf>
      <numFmt numFmtId="2" formatCode="0.00"/>
    </dxf>
    <dxf>
      <numFmt numFmtId="2" formatCode="0.00"/>
    </dxf>
    <dxf>
      <alignment horizontal="center"/>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alignment horizontal="center"/>
    </dxf>
    <dxf>
      <alignment horizontal="center"/>
    </dxf>
    <dxf>
      <alignment vertical="center"/>
    </dxf>
    <dxf>
      <alignment vertical="center"/>
    </dxf>
    <dxf>
      <fill>
        <patternFill patternType="solid">
          <bgColor theme="8" tint="0.59999389629810485"/>
        </patternFill>
      </fill>
    </dxf>
    <dxf>
      <fill>
        <patternFill patternType="solid">
          <bgColor theme="8"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horizontal="left"/>
    </dxf>
    <dxf>
      <alignment horizontal="left"/>
    </dxf>
    <dxf>
      <alignment horizontal="center"/>
    </dxf>
    <dxf>
      <alignment horizontal="center"/>
    </dxf>
    <dxf>
      <alignment horizontal="right"/>
    </dxf>
    <dxf>
      <alignment horizontal="right"/>
    </dxf>
    <dxf>
      <numFmt numFmtId="2" formatCode="0.00"/>
    </dxf>
    <dxf>
      <numFmt numFmtId="2" formatCode="0.00"/>
    </dxf>
    <dxf>
      <alignment vertical="center"/>
    </dxf>
    <dxf>
      <alignment vertical="center"/>
    </dxf>
    <dxf>
      <fill>
        <patternFill patternType="solid">
          <bgColor theme="5" tint="0.39997558519241921"/>
        </patternFill>
      </fill>
    </dxf>
    <dxf>
      <fill>
        <patternFill patternType="solid">
          <bgColor theme="5" tint="0.39997558519241921"/>
        </patternFill>
      </fill>
    </dxf>
    <dxf>
      <numFmt numFmtId="2" formatCode="0.00"/>
    </dxf>
    <dxf>
      <alignment horizontal="center"/>
    </dxf>
    <dxf>
      <alignment horizontal="center"/>
    </dxf>
    <dxf>
      <numFmt numFmtId="2" formatCode="0.00"/>
    </dxf>
    <dxf>
      <numFmt numFmtId="2" formatCode="0.00"/>
    </dxf>
    <dxf>
      <alignment horizontal="center"/>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alignment horizontal="center"/>
    </dxf>
    <dxf>
      <alignment horizontal="center"/>
    </dxf>
    <dxf>
      <alignment vertical="center"/>
    </dxf>
    <dxf>
      <alignment vertical="center"/>
    </dxf>
    <dxf>
      <fill>
        <patternFill patternType="solid">
          <bgColor theme="8" tint="0.59999389629810485"/>
        </patternFill>
      </fill>
    </dxf>
    <dxf>
      <fill>
        <patternFill patternType="solid">
          <bgColor theme="8"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horizontal="left"/>
    </dxf>
    <dxf>
      <alignment horizontal="left"/>
    </dxf>
    <dxf>
      <alignment horizontal="center"/>
    </dxf>
    <dxf>
      <alignment horizontal="center"/>
    </dxf>
    <dxf>
      <alignment horizontal="right"/>
    </dxf>
    <dxf>
      <alignment horizontal="right"/>
    </dxf>
    <dxf>
      <numFmt numFmtId="2" formatCode="0.00"/>
    </dxf>
    <dxf>
      <numFmt numFmtId="2" formatCode="0.00"/>
    </dxf>
    <dxf>
      <alignment vertical="center"/>
    </dxf>
    <dxf>
      <alignment vertical="center"/>
    </dxf>
    <dxf>
      <fill>
        <patternFill patternType="solid">
          <bgColor theme="5" tint="0.39997558519241921"/>
        </patternFill>
      </fill>
    </dxf>
    <dxf>
      <fill>
        <patternFill patternType="solid">
          <bgColor theme="5" tint="0.39997558519241921"/>
        </patternFill>
      </fill>
    </dxf>
    <dxf>
      <numFmt numFmtId="2" formatCode="0.00"/>
    </dxf>
    <dxf>
      <alignment horizontal="center"/>
    </dxf>
    <dxf>
      <alignment horizontal="center"/>
    </dxf>
    <dxf>
      <numFmt numFmtId="2" formatCode="0.00"/>
    </dxf>
    <dxf>
      <numFmt numFmtId="2" formatCode="0.00"/>
    </dxf>
    <dxf>
      <alignment horizontal="center"/>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alignment horizontal="center"/>
    </dxf>
    <dxf>
      <alignment horizontal="center"/>
    </dxf>
    <dxf>
      <alignment vertical="center"/>
    </dxf>
    <dxf>
      <alignment vertical="center"/>
    </dxf>
    <dxf>
      <fill>
        <patternFill patternType="solid">
          <bgColor theme="8" tint="0.59999389629810485"/>
        </patternFill>
      </fill>
    </dxf>
    <dxf>
      <fill>
        <patternFill patternType="solid">
          <bgColor theme="8"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horizontal="left"/>
    </dxf>
    <dxf>
      <alignment horizontal="left"/>
    </dxf>
    <dxf>
      <alignment horizontal="center"/>
    </dxf>
    <dxf>
      <alignment horizontal="center"/>
    </dxf>
    <dxf>
      <alignment horizontal="right"/>
    </dxf>
    <dxf>
      <alignment horizontal="right"/>
    </dxf>
    <dxf>
      <numFmt numFmtId="2" formatCode="0.00"/>
    </dxf>
    <dxf>
      <numFmt numFmtId="2" formatCode="0.00"/>
    </dxf>
    <dxf>
      <alignment vertical="center"/>
    </dxf>
    <dxf>
      <alignment vertical="center"/>
    </dxf>
    <dxf>
      <fill>
        <patternFill patternType="solid">
          <bgColor theme="5" tint="0.39997558519241921"/>
        </patternFill>
      </fill>
    </dxf>
    <dxf>
      <fill>
        <patternFill patternType="solid">
          <bgColor theme="5" tint="0.39997558519241921"/>
        </patternFill>
      </fill>
    </dxf>
    <dxf>
      <numFmt numFmtId="2" formatCode="0.00"/>
    </dxf>
    <dxf>
      <alignment horizontal="center"/>
    </dxf>
    <dxf>
      <alignment horizontal="center"/>
    </dxf>
    <dxf>
      <numFmt numFmtId="2" formatCode="0.00"/>
    </dxf>
    <dxf>
      <numFmt numFmtId="2" formatCode="0.00"/>
    </dxf>
    <dxf>
      <alignment horizontal="center"/>
    </dxf>
    <dxf>
      <alignment horizontal="cent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alignment horizontal="center"/>
    </dxf>
    <dxf>
      <alignment horizontal="center"/>
    </dxf>
    <dxf>
      <alignment vertical="center"/>
    </dxf>
    <dxf>
      <alignment vertical="center"/>
    </dxf>
    <dxf>
      <fill>
        <patternFill patternType="solid">
          <bgColor theme="8" tint="0.59999389629810485"/>
        </patternFill>
      </fill>
    </dxf>
    <dxf>
      <fill>
        <patternFill patternType="solid">
          <bgColor theme="8"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dxf>
    <dxf>
      <alignment horizontal="left"/>
    </dxf>
    <dxf>
      <alignment horizontal="left"/>
    </dxf>
    <dxf>
      <alignment horizontal="left"/>
    </dxf>
    <dxf>
      <alignment horizontal="left"/>
    </dxf>
    <dxf>
      <alignment horizontal="left"/>
    </dxf>
    <dxf>
      <alignment horizontal="center"/>
    </dxf>
    <dxf>
      <alignment horizontal="center"/>
    </dxf>
    <dxf>
      <alignment horizontal="right"/>
    </dxf>
    <dxf>
      <alignment horizontal="right"/>
    </dxf>
    <dxf>
      <numFmt numFmtId="2" formatCode="0.00"/>
    </dxf>
    <dxf>
      <numFmt numFmtId="2" formatCode="0.00"/>
    </dxf>
    <dxf>
      <alignment vertical="center"/>
    </dxf>
    <dxf>
      <alignment vertical="center"/>
    </dxf>
    <dxf>
      <fill>
        <patternFill patternType="solid">
          <bgColor theme="5" tint="0.39997558519241921"/>
        </patternFill>
      </fill>
    </dxf>
    <dxf>
      <fill>
        <patternFill patternType="solid">
          <bgColor theme="5" tint="0.39997558519241921"/>
        </patternFill>
      </fill>
    </dxf>
    <dxf>
      <numFmt numFmtId="2" formatCode="0.00"/>
    </dxf>
    <dxf>
      <alignment horizontal="center"/>
    </dxf>
    <dxf>
      <alignment horizontal="center"/>
    </dxf>
    <dxf>
      <numFmt numFmtId="2" formatCode="0.00"/>
    </dxf>
    <dxf>
      <numFmt numFmtId="2" formatCode="0.00"/>
    </dxf>
    <dxf>
      <alignment horizontal="center"/>
    </dxf>
    <dxf>
      <alignment horizontal="center"/>
    </dxf>
    <dxf>
      <numFmt numFmtId="2" formatCode="0.00"/>
    </dxf>
    <dxf>
      <numFmt numFmtId="2" formatCode="0.00"/>
    </dxf>
    <dxf>
      <alignment horizontal="center"/>
    </dxf>
    <dxf>
      <alignment horizontal="center"/>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dxf>
    <dxf>
      <fill>
        <patternFill>
          <bgColor theme="8" tint="0.59996337778862885"/>
        </patternFill>
      </fill>
    </dxf>
    <dxf>
      <fill>
        <patternFill>
          <bgColor theme="8" tint="0.59996337778862885"/>
        </patternFill>
      </fill>
    </dxf>
    <dxf>
      <fill>
        <patternFill>
          <bgColor theme="8" tint="0.59996337778862885"/>
        </patternFill>
      </fill>
    </dxf>
    <dxf>
      <numFmt numFmtId="2" formatCode="0.00"/>
    </dxf>
    <dxf>
      <alignment horizontal="center"/>
    </dxf>
    <dxf>
      <alignment horizontal="center"/>
    </dxf>
    <dxf>
      <alignment horizontal="center"/>
    </dxf>
    <dxf>
      <alignment horizontal="center"/>
    </dxf>
    <dxf>
      <numFmt numFmtId="2" formatCode="0.00"/>
    </dxf>
    <dxf>
      <fill>
        <patternFill patternType="solid">
          <bgColor theme="9" tint="0.59999389629810485"/>
        </patternFill>
      </fill>
    </dxf>
    <dxf>
      <fill>
        <patternFill patternType="solid">
          <bgColor theme="9" tint="0.59999389629810485"/>
        </patternFill>
      </fill>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horizontal="general"/>
    </dxf>
    <dxf>
      <alignment horizontal="general"/>
    </dxf>
    <dxf>
      <alignment horizontal="center"/>
    </dxf>
    <dxf>
      <fill>
        <patternFill patternType="solid">
          <bgColor theme="8" tint="0.59999389629810485"/>
        </patternFill>
      </fill>
    </dxf>
    <dxf>
      <fill>
        <patternFill patternType="solid">
          <bgColor theme="8" tint="0.59999389629810485"/>
        </patternFill>
      </fill>
    </dxf>
    <dxf>
      <alignment vertical="center"/>
    </dxf>
    <dxf>
      <alignment vertical="center"/>
    </dxf>
    <dxf>
      <alignment horizontal="center"/>
    </dxf>
    <dxf>
      <alignment horizontal="cent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vertical style="thin">
          <color indexed="64"/>
        </vertical>
        <horizontal style="thin">
          <color indexed="64"/>
        </horizontal>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5" tint="0.39997558519241921"/>
        </patternFill>
      </fill>
    </dxf>
    <dxf>
      <fill>
        <patternFill patternType="solid">
          <bgColor theme="5" tint="0.39997558519241921"/>
        </patternFill>
      </fill>
    </dxf>
    <dxf>
      <alignment vertical="center"/>
    </dxf>
    <dxf>
      <alignment vertical="center"/>
    </dxf>
    <dxf>
      <numFmt numFmtId="2" formatCode="0.00"/>
    </dxf>
    <dxf>
      <numFmt numFmtId="2" formatCode="0.00"/>
    </dxf>
    <dxf>
      <alignment horizontal="right"/>
    </dxf>
    <dxf>
      <alignment horizontal="right"/>
    </dxf>
    <dxf>
      <alignment horizontal="center"/>
    </dxf>
    <dxf>
      <alignment horizontal="center"/>
    </dxf>
    <dxf>
      <alignment horizontal="left"/>
    </dxf>
    <dxf>
      <alignment horizontal="left"/>
    </dxf>
    <dxf>
      <alignment horizontal="left"/>
    </dxf>
    <dxf>
      <alignment horizontal="left"/>
    </dxf>
    <dxf>
      <alignment horizontal="left"/>
    </dxf>
    <dxf>
      <alignment horizontal="lef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0"/>
        </patternFill>
      </fill>
    </dxf>
    <dxf>
      <numFmt numFmtId="1" formatCode="0"/>
      <fill>
        <patternFill patternType="solid">
          <fgColor indexed="64"/>
          <bgColor theme="0"/>
        </patternFill>
      </fill>
    </dxf>
    <dxf>
      <numFmt numFmtId="164" formatCode="[$-14009]dd/mm/yyyy;@"/>
      <fill>
        <patternFill patternType="solid">
          <fgColor indexed="64"/>
          <bgColor theme="0"/>
        </patternFill>
      </fill>
    </dxf>
    <dxf>
      <numFmt numFmtId="2" formatCode="0.00"/>
      <fill>
        <patternFill patternType="solid">
          <fgColor indexed="64"/>
          <bgColor theme="0"/>
        </patternFill>
      </fill>
    </dxf>
    <dxf>
      <fill>
        <patternFill patternType="solid">
          <fgColor indexed="64"/>
          <bgColor theme="0"/>
        </patternFill>
      </fill>
    </dxf>
    <dxf>
      <fill>
        <patternFill patternType="solid">
          <fgColor indexed="64"/>
          <bgColor theme="0"/>
        </patternFill>
      </fill>
    </dxf>
    <dxf>
      <fill>
        <patternFill patternType="solid">
          <fgColor indexed="64"/>
          <bgColor theme="0"/>
        </patternFill>
      </fill>
    </dxf>
    <dxf>
      <font>
        <b val="0"/>
        <i val="0"/>
        <strike val="0"/>
        <condense val="0"/>
        <extend val="0"/>
        <outline val="0"/>
        <shadow val="0"/>
        <u val="none"/>
        <vertAlign val="baseline"/>
        <sz val="11"/>
        <color theme="1"/>
        <name val="Calibri"/>
        <family val="2"/>
        <scheme val="none"/>
      </font>
      <fill>
        <patternFill patternType="solid">
          <fgColor indexed="64"/>
          <bgColor theme="0"/>
        </patternFill>
      </fill>
      <alignment horizontal="left" vertical="bottom" textRotation="0" wrapText="0" indent="0" justifyLastLine="0" shrinkToFit="0" readingOrder="0"/>
    </dxf>
    <dxf>
      <border outline="0">
        <top style="thin">
          <color indexed="64"/>
        </top>
      </border>
    </dxf>
    <dxf>
      <border outline="0">
        <left style="thin">
          <color indexed="64"/>
        </left>
        <right style="thin">
          <color indexed="64"/>
        </right>
        <top style="thin">
          <color indexed="64"/>
        </top>
        <bottom style="thin">
          <color indexed="64"/>
        </bottom>
      </border>
    </dxf>
    <dxf>
      <fill>
        <patternFill patternType="solid">
          <fgColor indexed="64"/>
          <bgColor theme="0"/>
        </patternFill>
      </fill>
    </dxf>
    <dxf>
      <border outline="0">
        <bottom style="thin">
          <color indexed="64"/>
        </bottom>
      </border>
    </dxf>
    <dxf>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family val="2"/>
        <scheme val="none"/>
      </font>
      <fill>
        <patternFill>
          <fgColor indexed="64"/>
          <bgColor theme="3" tint="0.89999084444715716"/>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numFmt numFmtId="30" formatCode="@"/>
      <fill>
        <patternFill>
          <fgColor indexed="64"/>
          <bgColor theme="3" tint="0.89999084444715716"/>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numFmt numFmtId="1" formatCode="0"/>
      <fill>
        <patternFill patternType="solid">
          <fgColor indexed="64"/>
          <bgColor theme="3" tint="0.89999084444715716"/>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numFmt numFmtId="164" formatCode="[$-14009]dd/mm/yyyy;@"/>
      <fill>
        <patternFill patternType="solid">
          <fgColor indexed="64"/>
          <bgColor theme="3" tint="0.89999084444715716"/>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numFmt numFmtId="19" formatCode="dd/mm/yyyy"/>
      <fill>
        <patternFill>
          <fgColor indexed="64"/>
          <bgColor theme="3" tint="0.89999084444715716"/>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FF0000"/>
        <name val="Calibri"/>
        <family val="2"/>
        <scheme val="none"/>
      </font>
      <numFmt numFmtId="2" formatCode="0.00"/>
      <fill>
        <patternFill patternType="solid">
          <fgColor indexed="64"/>
          <bgColor theme="3" tint="0.89999084444715716"/>
        </patternFill>
      </fill>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numFmt numFmtId="30" formatCode="@"/>
      <fill>
        <patternFill>
          <fgColor indexed="64"/>
          <bgColor theme="3" tint="0.89999084444715716"/>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numFmt numFmtId="30" formatCode="@"/>
      <fill>
        <patternFill>
          <fgColor indexed="64"/>
          <bgColor theme="3" tint="0.89999084444715716"/>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numFmt numFmtId="30" formatCode="@"/>
      <fill>
        <patternFill>
          <fgColor indexed="64"/>
          <bgColor theme="3" tint="0.89999084444715716"/>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fill>
        <patternFill>
          <fgColor indexed="64"/>
          <bgColor theme="3" tint="0.89999084444715716"/>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top style="medium">
          <color rgb="FFCCCCCC"/>
        </top>
      </border>
    </dxf>
    <dxf>
      <border outline="0">
        <top style="medium">
          <color rgb="FF000000"/>
        </top>
        <bottom style="medium">
          <color rgb="FFCCCCCC"/>
        </bottom>
      </border>
    </dxf>
    <dxf>
      <fill>
        <patternFill>
          <fgColor indexed="64"/>
          <bgColor theme="3" tint="0.89999084444715716"/>
        </patternFill>
      </fill>
      <alignment textRotation="0" wrapText="0" indent="0" justifyLastLine="0" shrinkToFit="0" readingOrder="0"/>
    </dxf>
    <dxf>
      <border outline="0">
        <bottom style="medium">
          <color rgb="FF000000"/>
        </bottom>
      </border>
    </dxf>
    <dxf>
      <font>
        <b/>
        <i val="0"/>
        <strike val="0"/>
        <condense val="0"/>
        <extend val="0"/>
        <outline val="0"/>
        <shadow val="0"/>
        <u val="none"/>
        <vertAlign val="baseline"/>
        <sz val="11"/>
        <color theme="1"/>
        <name val="Calibri"/>
        <family val="2"/>
        <scheme val="none"/>
      </font>
      <fill>
        <patternFill patternType="solid">
          <fgColor indexed="64"/>
          <bgColor theme="3" tint="0.249977111117893"/>
        </patternFill>
      </fill>
      <alignment horizontal="center" vertical="top" textRotation="0" wrapText="0" indent="0" justifyLastLine="0" shrinkToFit="0" readingOrder="0"/>
    </dxf>
    <dxf>
      <font>
        <b val="0"/>
        <i val="0"/>
        <strike val="0"/>
        <condense val="0"/>
        <extend val="0"/>
        <outline val="0"/>
        <shadow val="0"/>
        <u val="none"/>
        <vertAlign val="baseline"/>
        <sz val="11"/>
        <color theme="1"/>
        <name val="Aptos Narrow"/>
        <family val="2"/>
        <scheme val="minor"/>
      </font>
      <numFmt numFmtId="2" formatCode="0.00"/>
      <fill>
        <patternFill patternType="solid">
          <fgColor indexed="64"/>
          <bgColor theme="8" tint="0.79998168889431442"/>
        </patternFill>
      </fill>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numFmt numFmtId="30" formatCode="@"/>
      <fill>
        <patternFill patternType="solid">
          <fgColor indexed="64"/>
          <bgColor theme="8" tint="0.79998168889431442"/>
        </patternFill>
      </fill>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fill>
        <patternFill patternType="solid">
          <fgColor indexed="64"/>
          <bgColor theme="8" tint="0.79998168889431442"/>
        </patternFill>
      </fill>
      <alignment horizontal="lef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fgColor indexed="64"/>
          <bgColor theme="8" tint="0.79998168889431442"/>
        </patternFill>
      </fill>
      <alignment horizontal="center" vertical="bottom"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libri"/>
        <family val="2"/>
        <scheme val="none"/>
      </font>
      <numFmt numFmtId="30" formatCode="@"/>
      <fill>
        <patternFill patternType="solid">
          <fgColor indexed="64"/>
          <bgColor theme="8" tint="0.79998168889431442"/>
        </patternFill>
      </fill>
      <alignment horizontal="lef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theme="1"/>
        <name val="Arial Narrow"/>
        <family val="2"/>
        <scheme val="none"/>
      </font>
      <numFmt numFmtId="30" formatCode="@"/>
      <fill>
        <patternFill patternType="solid">
          <fgColor indexed="64"/>
          <bgColor theme="9" tint="0.39997558519241921"/>
        </patternFill>
      </fill>
      <alignment horizontal="center" vertical="top"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family val="2"/>
        <scheme val="none"/>
      </font>
      <fill>
        <patternFill patternType="solid">
          <fgColor indexed="64"/>
          <bgColor theme="3" tint="0.89999084444715716"/>
        </patternFill>
      </fill>
      <alignment horizontal="left" vertical="center"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numFmt numFmtId="30" formatCode="@"/>
      <fill>
        <patternFill patternType="solid">
          <fgColor indexed="64"/>
          <bgColor theme="3" tint="0.89999084444715716"/>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numFmt numFmtId="1" formatCode="0"/>
      <fill>
        <patternFill patternType="solid">
          <fgColor indexed="64"/>
          <bgColor theme="3" tint="0.89999084444715716"/>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numFmt numFmtId="164" formatCode="[$-14009]dd/mm/yyyy;@"/>
      <fill>
        <patternFill patternType="solid">
          <fgColor indexed="64"/>
          <bgColor theme="3" tint="0.89999084444715716"/>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FF0000"/>
        <name val="Calibri"/>
        <family val="2"/>
        <scheme val="none"/>
      </font>
      <numFmt numFmtId="2" formatCode="0.00"/>
      <fill>
        <patternFill patternType="solid">
          <fgColor indexed="64"/>
          <bgColor theme="3" tint="0.89999084444715716"/>
        </patternFill>
      </fill>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numFmt numFmtId="30" formatCode="@"/>
      <fill>
        <patternFill patternType="solid">
          <fgColor indexed="64"/>
          <bgColor theme="3" tint="0.89999084444715716"/>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numFmt numFmtId="30" formatCode="@"/>
      <fill>
        <patternFill patternType="solid">
          <fgColor indexed="64"/>
          <bgColor theme="3" tint="0.89999084444715716"/>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numFmt numFmtId="30" formatCode="@"/>
      <fill>
        <patternFill patternType="solid">
          <fgColor indexed="64"/>
          <bgColor theme="3" tint="0.89999084444715716"/>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none"/>
      </font>
      <fill>
        <patternFill patternType="solid">
          <fgColor indexed="64"/>
          <bgColor theme="3" tint="0.89999084444715716"/>
        </patternFill>
      </fill>
      <alignment horizontal="left"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medium">
          <color rgb="FFCCCCCC"/>
        </top>
      </border>
    </dxf>
    <dxf>
      <border outline="0">
        <top style="medium">
          <color rgb="FF000000"/>
        </top>
        <bottom style="medium">
          <color rgb="FFCCCCCC"/>
        </bottom>
      </border>
    </dxf>
    <dxf>
      <fill>
        <patternFill>
          <fgColor indexed="64"/>
          <bgColor theme="3" tint="0.89999084444715716"/>
        </patternFill>
      </fill>
      <alignment textRotation="0" wrapText="0" indent="0" justifyLastLine="0" shrinkToFit="0" readingOrder="0"/>
    </dxf>
    <dxf>
      <border outline="0">
        <bottom style="medium">
          <color rgb="FF000000"/>
        </bottom>
      </border>
    </dxf>
    <dxf>
      <font>
        <b/>
        <i val="0"/>
        <strike val="0"/>
        <condense val="0"/>
        <extend val="0"/>
        <outline val="0"/>
        <shadow val="0"/>
        <u val="none"/>
        <vertAlign val="baseline"/>
        <sz val="11"/>
        <color theme="1"/>
        <name val="Calibri"/>
        <family val="2"/>
        <scheme val="none"/>
      </font>
      <fill>
        <patternFill patternType="solid">
          <fgColor indexed="64"/>
          <bgColor theme="3" tint="0.249977111117893"/>
        </patternFill>
      </fill>
      <alignment horizontal="center" vertical="top" textRotation="0" wrapText="0" indent="0" justifyLastLine="0" shrinkToFit="0" readingOrder="0"/>
    </dxf>
    <dxf>
      <fill>
        <patternFill>
          <fgColor indexed="64"/>
          <bgColor theme="3" tint="0.89999084444715716"/>
        </patternFill>
      </fill>
      <alignment textRotation="0" wrapText="0" indent="0" justifyLastLine="0" shrinkToFit="0" readingOrder="0"/>
    </dxf>
    <dxf>
      <font>
        <b val="0"/>
        <i val="0"/>
        <strike val="0"/>
        <condense val="0"/>
        <extend val="0"/>
        <outline val="0"/>
        <shadow val="0"/>
        <u val="none"/>
        <vertAlign val="baseline"/>
        <sz val="11"/>
        <color theme="1"/>
        <name val="Calibri"/>
        <family val="2"/>
        <scheme val="none"/>
      </font>
      <fill>
        <patternFill>
          <fgColor indexed="64"/>
          <bgColor theme="3" tint="0.89999084444715716"/>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numFmt numFmtId="30" formatCode="@"/>
      <fill>
        <patternFill>
          <fgColor indexed="64"/>
          <bgColor theme="3" tint="0.89999084444715716"/>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numFmt numFmtId="1" formatCode="0"/>
      <fill>
        <patternFill patternType="solid">
          <fgColor indexed="64"/>
          <bgColor theme="3" tint="0.89999084444715716"/>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numFmt numFmtId="164" formatCode="[$-14009]dd/mm/yyyy;@"/>
      <fill>
        <patternFill>
          <fgColor indexed="64"/>
          <bgColor theme="3" tint="0.89999084444715716"/>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FF0000"/>
        <name val="Calibri"/>
        <family val="2"/>
        <scheme val="none"/>
      </font>
      <numFmt numFmtId="2" formatCode="0.00"/>
      <fill>
        <patternFill patternType="solid">
          <fgColor indexed="64"/>
          <bgColor theme="3" tint="0.89999084444715716"/>
        </patternFill>
      </fill>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numFmt numFmtId="30" formatCode="@"/>
      <fill>
        <patternFill>
          <fgColor indexed="64"/>
          <bgColor theme="3" tint="0.89999084444715716"/>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numFmt numFmtId="30" formatCode="@"/>
      <fill>
        <patternFill>
          <fgColor indexed="64"/>
          <bgColor theme="3" tint="0.89999084444715716"/>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numFmt numFmtId="30" formatCode="@"/>
      <fill>
        <patternFill>
          <fgColor indexed="64"/>
          <bgColor theme="3" tint="0.89999084444715716"/>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fill>
        <patternFill>
          <fgColor indexed="64"/>
          <bgColor theme="3" tint="0.89999084444715716"/>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top style="medium">
          <color rgb="FFCCCCCC"/>
        </top>
      </border>
    </dxf>
    <dxf>
      <border outline="0">
        <top style="medium">
          <color rgb="FF000000"/>
        </top>
        <bottom style="medium">
          <color rgb="FFCCCCCC"/>
        </bottom>
      </border>
    </dxf>
    <dxf>
      <fill>
        <patternFill>
          <fgColor indexed="64"/>
          <bgColor theme="3" tint="0.89999084444715716"/>
        </patternFill>
      </fill>
      <alignment textRotation="0" wrapText="0" indent="0" justifyLastLine="0" shrinkToFit="0" readingOrder="0"/>
    </dxf>
    <dxf>
      <border outline="0">
        <bottom style="medium">
          <color rgb="FF000000"/>
        </bottom>
      </border>
    </dxf>
    <dxf>
      <font>
        <b/>
        <i val="0"/>
        <strike val="0"/>
        <condense val="0"/>
        <extend val="0"/>
        <outline val="0"/>
        <shadow val="0"/>
        <u val="none"/>
        <vertAlign val="baseline"/>
        <sz val="11"/>
        <color theme="1"/>
        <name val="Calibri"/>
        <family val="2"/>
        <scheme val="none"/>
      </font>
      <fill>
        <patternFill patternType="solid">
          <fgColor indexed="64"/>
          <bgColor theme="3" tint="0.249977111117893"/>
        </patternFill>
      </fill>
      <alignment horizontal="center" vertical="top" textRotation="0" wrapText="0" indent="0" justifyLastLine="0" shrinkToFit="0" readingOrder="0"/>
    </dxf>
    <dxf>
      <fill>
        <patternFill>
          <fgColor indexed="64"/>
          <bgColor theme="3" tint="0.89999084444715716"/>
        </patternFill>
      </fill>
      <alignment textRotation="0" wrapText="0" indent="0" justifyLastLine="0" shrinkToFit="0" readingOrder="0"/>
    </dxf>
    <dxf>
      <font>
        <b val="0"/>
        <i val="0"/>
        <strike val="0"/>
        <condense val="0"/>
        <extend val="0"/>
        <outline val="0"/>
        <shadow val="0"/>
        <u val="none"/>
        <vertAlign val="baseline"/>
        <sz val="11"/>
        <color theme="1"/>
        <name val="Calibri"/>
        <family val="2"/>
        <scheme val="none"/>
      </font>
      <fill>
        <patternFill>
          <fgColor indexed="64"/>
          <bgColor theme="3" tint="0.89999084444715716"/>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numFmt numFmtId="30" formatCode="@"/>
      <fill>
        <patternFill>
          <fgColor indexed="64"/>
          <bgColor theme="3" tint="0.89999084444715716"/>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numFmt numFmtId="1" formatCode="0"/>
      <fill>
        <patternFill patternType="solid">
          <fgColor indexed="64"/>
          <bgColor theme="3" tint="0.89999084444715716"/>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numFmt numFmtId="164" formatCode="[$-14009]dd/mm/yyyy;@"/>
      <fill>
        <patternFill>
          <fgColor indexed="64"/>
          <bgColor theme="3" tint="0.89999084444715716"/>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FF0000"/>
        <name val="Calibri"/>
        <family val="2"/>
        <scheme val="none"/>
      </font>
      <numFmt numFmtId="2" formatCode="0.00"/>
      <fill>
        <patternFill patternType="solid">
          <fgColor indexed="64"/>
          <bgColor theme="3" tint="0.89999084444715716"/>
        </patternFill>
      </fill>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numFmt numFmtId="30" formatCode="@"/>
      <fill>
        <patternFill>
          <fgColor indexed="64"/>
          <bgColor theme="3" tint="0.89999084444715716"/>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numFmt numFmtId="30" formatCode="@"/>
      <fill>
        <patternFill>
          <fgColor indexed="64"/>
          <bgColor theme="3" tint="0.89999084444715716"/>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numFmt numFmtId="30" formatCode="@"/>
      <fill>
        <patternFill>
          <fgColor indexed="64"/>
          <bgColor theme="3" tint="0.89999084444715716"/>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fill>
        <patternFill>
          <fgColor indexed="64"/>
          <bgColor theme="3" tint="0.89999084444715716"/>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top style="medium">
          <color rgb="FFCCCCCC"/>
        </top>
      </border>
    </dxf>
    <dxf>
      <border outline="0">
        <top style="medium">
          <color rgb="FF000000"/>
        </top>
        <bottom style="medium">
          <color rgb="FFCCCCCC"/>
        </bottom>
      </border>
    </dxf>
    <dxf>
      <fill>
        <patternFill>
          <fgColor indexed="64"/>
          <bgColor theme="3" tint="0.89999084444715716"/>
        </patternFill>
      </fill>
      <alignment textRotation="0" wrapText="0" indent="0" justifyLastLine="0" shrinkToFit="0" readingOrder="0"/>
    </dxf>
    <dxf>
      <border outline="0">
        <bottom style="medium">
          <color rgb="FF000000"/>
        </bottom>
      </border>
    </dxf>
    <dxf>
      <font>
        <b/>
        <i val="0"/>
        <strike val="0"/>
        <condense val="0"/>
        <extend val="0"/>
        <outline val="0"/>
        <shadow val="0"/>
        <u val="none"/>
        <vertAlign val="baseline"/>
        <sz val="11"/>
        <color theme="1"/>
        <name val="Calibri"/>
        <family val="2"/>
        <scheme val="none"/>
      </font>
      <fill>
        <patternFill patternType="solid">
          <fgColor indexed="64"/>
          <bgColor theme="3" tint="0.249977111117893"/>
        </patternFill>
      </fill>
      <alignment horizontal="center" vertical="top" textRotation="0" wrapText="0" indent="0" justifyLastLine="0" shrinkToFit="0" readingOrder="0"/>
    </dxf>
    <dxf>
      <numFmt numFmtId="0" formatCode="General"/>
    </dxf>
    <dxf>
      <numFmt numFmtId="0" formatCode="General"/>
    </dxf>
    <dxf>
      <numFmt numFmtId="1" formatCode="0"/>
      <alignment horizontal="center" vertical="bottom" textRotation="0" wrapText="0" indent="0" justifyLastLine="0" shrinkToFit="0" readingOrder="0"/>
    </dxf>
    <dxf>
      <numFmt numFmtId="19" formatCode="dd/mm/yyyy"/>
      <alignment horizontal="center" vertical="bottom" textRotation="0" wrapText="0" indent="0" justifyLastLine="0" shrinkToFit="0" readingOrder="0"/>
    </dxf>
    <dxf>
      <numFmt numFmtId="2" formatCode="0.00"/>
    </dxf>
    <dxf>
      <numFmt numFmtId="0" formatCode="General"/>
    </dxf>
    <dxf>
      <numFmt numFmtId="0" formatCode="General"/>
    </dxf>
    <dxf>
      <numFmt numFmtId="0" formatCode="General"/>
    </dxf>
    <dxf>
      <numFmt numFmtId="0" formatCode="General"/>
    </dxf>
    <dxf>
      <alignment horizontal="general" vertical="center"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general"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Calibri"/>
        <family val="2"/>
        <scheme val="none"/>
      </font>
      <fill>
        <patternFill>
          <fgColor indexed="64"/>
          <bgColor theme="3" tint="0.89999084444715716"/>
        </patternFill>
      </fill>
      <alignment horizontal="left" vertical="center"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numFmt numFmtId="30" formatCode="@"/>
      <fill>
        <patternFill>
          <fgColor indexed="64"/>
          <bgColor theme="3" tint="0.89999084444715716"/>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numFmt numFmtId="1" formatCode="0"/>
      <fill>
        <patternFill patternType="solid">
          <fgColor indexed="64"/>
          <bgColor theme="3" tint="0.89999084444715716"/>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numFmt numFmtId="164" formatCode="[$-14009]dd/mm/yyyy;@"/>
      <fill>
        <patternFill>
          <fgColor indexed="64"/>
          <bgColor theme="3" tint="0.89999084444715716"/>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FF0000"/>
        <name val="Calibri"/>
        <family val="2"/>
        <scheme val="none"/>
      </font>
      <numFmt numFmtId="2" formatCode="0.00"/>
      <fill>
        <patternFill patternType="solid">
          <fgColor indexed="64"/>
          <bgColor theme="3" tint="0.89999084444715716"/>
        </patternFill>
      </fill>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numFmt numFmtId="30" formatCode="@"/>
      <fill>
        <patternFill>
          <fgColor indexed="64"/>
          <bgColor theme="3" tint="0.89999084444715716"/>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numFmt numFmtId="30" formatCode="@"/>
      <fill>
        <patternFill>
          <fgColor indexed="64"/>
          <bgColor theme="3" tint="0.89999084444715716"/>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numFmt numFmtId="30" formatCode="@"/>
      <fill>
        <patternFill>
          <fgColor indexed="64"/>
          <bgColor theme="3" tint="0.89999084444715716"/>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fill>
        <patternFill>
          <fgColor indexed="64"/>
          <bgColor theme="3" tint="0.89999084444715716"/>
        </patternFill>
      </fill>
      <alignment horizontal="left" vertical="bottom"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ill>
        <patternFill>
          <fgColor indexed="64"/>
          <bgColor theme="3" tint="0.89999084444715716"/>
        </patternFill>
      </fill>
      <alignment textRotation="0" wrapText="0" indent="0" justifyLastLine="0" shrinkToFit="0" readingOrder="0"/>
    </dxf>
    <dxf>
      <border>
        <bottom style="thin">
          <color indexed="64"/>
        </bottom>
      </border>
    </dxf>
    <dxf>
      <font>
        <b/>
        <i val="0"/>
        <strike val="0"/>
        <condense val="0"/>
        <extend val="0"/>
        <outline val="0"/>
        <shadow val="0"/>
        <u val="none"/>
        <vertAlign val="baseline"/>
        <sz val="11"/>
        <color theme="1"/>
        <name val="Calibri"/>
        <family val="2"/>
        <scheme val="none"/>
      </font>
      <fill>
        <patternFill patternType="solid">
          <fgColor indexed="64"/>
          <bgColor theme="3" tint="0.249977111117893"/>
        </patternFill>
      </fill>
      <alignment horizontal="center" vertical="top"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fill>
        <patternFill>
          <fgColor indexed="64"/>
          <bgColor theme="3" tint="0.89999084444715716"/>
        </patternFill>
      </fill>
      <alignment textRotation="0" wrapText="0" indent="0" justifyLastLine="0" shrinkToFit="0" readingOrder="0"/>
    </dxf>
    <dxf>
      <font>
        <b val="0"/>
        <i val="0"/>
        <strike val="0"/>
        <condense val="0"/>
        <extend val="0"/>
        <outline val="0"/>
        <shadow val="0"/>
        <u val="none"/>
        <vertAlign val="baseline"/>
        <sz val="11"/>
        <color theme="1"/>
        <name val="Calibri"/>
        <family val="2"/>
        <scheme val="none"/>
      </font>
      <fill>
        <patternFill>
          <fgColor indexed="64"/>
          <bgColor theme="3" tint="0.89999084444715716"/>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numFmt numFmtId="30" formatCode="@"/>
      <fill>
        <patternFill>
          <fgColor indexed="64"/>
          <bgColor theme="3" tint="0.89999084444715716"/>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numFmt numFmtId="1" formatCode="0"/>
      <fill>
        <patternFill patternType="solid">
          <fgColor indexed="64"/>
          <bgColor theme="3" tint="0.89999084444715716"/>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numFmt numFmtId="164" formatCode="[$-14009]dd/mm/yyyy;@"/>
      <fill>
        <patternFill>
          <fgColor indexed="64"/>
          <bgColor theme="3" tint="0.89999084444715716"/>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FF0000"/>
        <name val="Calibri"/>
        <family val="2"/>
        <scheme val="none"/>
      </font>
      <numFmt numFmtId="2" formatCode="0.00"/>
      <fill>
        <patternFill patternType="solid">
          <fgColor indexed="64"/>
          <bgColor theme="3" tint="0.89999084444715716"/>
        </patternFill>
      </fill>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numFmt numFmtId="30" formatCode="@"/>
      <fill>
        <patternFill>
          <fgColor indexed="64"/>
          <bgColor theme="3" tint="0.89999084444715716"/>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numFmt numFmtId="30" formatCode="@"/>
      <fill>
        <patternFill>
          <fgColor indexed="64"/>
          <bgColor theme="3" tint="0.89999084444715716"/>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numFmt numFmtId="30" formatCode="@"/>
      <fill>
        <patternFill>
          <fgColor indexed="64"/>
          <bgColor theme="3" tint="0.89999084444715716"/>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fill>
        <patternFill>
          <fgColor indexed="64"/>
          <bgColor theme="3" tint="0.89999084444715716"/>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top style="medium">
          <color rgb="FFCCCCCC"/>
        </top>
      </border>
    </dxf>
    <dxf>
      <border outline="0">
        <top style="medium">
          <color rgb="FF000000"/>
        </top>
        <bottom style="medium">
          <color rgb="FFCCCCCC"/>
        </bottom>
      </border>
    </dxf>
    <dxf>
      <fill>
        <patternFill>
          <fgColor indexed="64"/>
          <bgColor theme="3" tint="0.89999084444715716"/>
        </patternFill>
      </fill>
      <alignment textRotation="0" wrapText="0" indent="0" justifyLastLine="0" shrinkToFit="0" readingOrder="0"/>
    </dxf>
    <dxf>
      <border outline="0">
        <bottom style="medium">
          <color rgb="FF000000"/>
        </bottom>
      </border>
    </dxf>
    <dxf>
      <font>
        <b/>
        <i val="0"/>
        <strike val="0"/>
        <condense val="0"/>
        <extend val="0"/>
        <outline val="0"/>
        <shadow val="0"/>
        <u val="none"/>
        <vertAlign val="baseline"/>
        <sz val="11"/>
        <color theme="1"/>
        <name val="Calibri"/>
        <family val="2"/>
        <scheme val="none"/>
      </font>
      <fill>
        <patternFill patternType="solid">
          <fgColor indexed="64"/>
          <bgColor theme="3" tint="0.249977111117893"/>
        </patternFill>
      </fill>
      <alignment horizontal="center" vertical="top" textRotation="0" wrapText="0" indent="0" justifyLastLine="0" shrinkToFit="0" readingOrder="0"/>
    </dxf>
    <dxf>
      <alignment horizontal="center" vertical="bottom"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medium">
          <color indexed="64"/>
        </left>
        <right style="medium">
          <color indexed="64"/>
        </right>
        <top style="medium">
          <color indexed="64"/>
        </top>
        <bottom style="medium">
          <color indexed="64"/>
        </bottom>
      </border>
    </dxf>
    <dxf>
      <border>
        <bottom style="thin">
          <color indexed="64"/>
        </bottom>
      </border>
    </dxf>
    <dxf>
      <font>
        <b val="0"/>
        <strike val="0"/>
        <outline val="0"/>
        <shadow val="0"/>
        <u val="none"/>
        <vertAlign val="baseline"/>
        <sz val="12"/>
        <color theme="1"/>
        <name val="Aptos Narrow"/>
        <family val="2"/>
        <scheme val="minor"/>
      </font>
      <alignment horizontal="center" vertical="bottom"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fill>
        <patternFill>
          <fgColor indexed="64"/>
          <bgColor theme="3" tint="0.89999084444715716"/>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numFmt numFmtId="30" formatCode="@"/>
      <fill>
        <patternFill>
          <fgColor indexed="64"/>
          <bgColor theme="3" tint="0.89999084444715716"/>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numFmt numFmtId="1" formatCode="0"/>
      <fill>
        <patternFill patternType="solid">
          <fgColor indexed="64"/>
          <bgColor theme="3" tint="0.89999084444715716"/>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numFmt numFmtId="164" formatCode="[$-14009]dd/mm/yyyy;@"/>
      <fill>
        <patternFill>
          <fgColor indexed="64"/>
          <bgColor theme="3" tint="0.89999084444715716"/>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rgb="FFFF0000"/>
        <name val="Calibri"/>
        <family val="2"/>
        <scheme val="none"/>
      </font>
      <numFmt numFmtId="2" formatCode="0.00"/>
      <fill>
        <patternFill patternType="solid">
          <fgColor indexed="64"/>
          <bgColor theme="3" tint="0.89999084444715716"/>
        </patternFill>
      </fill>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numFmt numFmtId="30" formatCode="@"/>
      <fill>
        <patternFill>
          <fgColor indexed="64"/>
          <bgColor theme="3" tint="0.89999084444715716"/>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numFmt numFmtId="30" formatCode="@"/>
      <fill>
        <patternFill>
          <fgColor indexed="64"/>
          <bgColor theme="3" tint="0.89999084444715716"/>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numFmt numFmtId="30" formatCode="@"/>
      <fill>
        <patternFill>
          <fgColor indexed="64"/>
          <bgColor theme="3" tint="0.89999084444715716"/>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scheme val="none"/>
      </font>
      <fill>
        <patternFill>
          <fgColor indexed="64"/>
          <bgColor theme="3" tint="0.89999084444715716"/>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top style="medium">
          <color rgb="FFCCCCCC"/>
        </top>
      </border>
    </dxf>
    <dxf>
      <border outline="0">
        <top style="medium">
          <color rgb="FF000000"/>
        </top>
        <bottom style="medium">
          <color rgb="FFCCCCCC"/>
        </bottom>
      </border>
    </dxf>
    <dxf>
      <fill>
        <patternFill>
          <fgColor indexed="64"/>
          <bgColor theme="3" tint="0.89999084444715716"/>
        </patternFill>
      </fill>
      <alignment textRotation="0" wrapText="0" indent="0" justifyLastLine="0" shrinkToFit="0" readingOrder="0"/>
    </dxf>
    <dxf>
      <border outline="0">
        <bottom style="medium">
          <color rgb="FF000000"/>
        </bottom>
      </border>
    </dxf>
    <dxf>
      <font>
        <b/>
        <i val="0"/>
        <strike val="0"/>
        <condense val="0"/>
        <extend val="0"/>
        <outline val="0"/>
        <shadow val="0"/>
        <u val="none"/>
        <vertAlign val="baseline"/>
        <sz val="11"/>
        <color theme="1"/>
        <name val="Calibri"/>
        <family val="2"/>
        <scheme val="none"/>
      </font>
      <fill>
        <patternFill patternType="solid">
          <fgColor indexed="64"/>
          <bgColor theme="3" tint="0.249977111117893"/>
        </patternFill>
      </fill>
      <alignment horizontal="center" vertical="top" textRotation="0" wrapText="0" indent="0" justifyLastLine="0" shrinkToFit="0" readingOrder="0"/>
    </dxf>
    <dxf>
      <font>
        <b val="0"/>
        <i val="0"/>
        <strike val="0"/>
        <condense val="0"/>
        <extend val="0"/>
        <outline val="0"/>
        <shadow val="0"/>
        <u val="none"/>
        <vertAlign val="baseline"/>
        <sz val="11"/>
        <color theme="1"/>
        <name val="Calibri"/>
        <family val="2"/>
        <scheme val="none"/>
      </font>
      <fill>
        <patternFill>
          <fgColor indexed="64"/>
          <bgColor theme="3" tint="0.89999084444715716"/>
        </patternFill>
      </fill>
      <alignment horizontal="left" vertical="center" textRotation="0" wrapText="0" indent="0" justifyLastLine="0" shrinkToFit="0" readingOrder="0"/>
      <border diagonalUp="0" diagonalDown="0" outline="0">
        <left style="medium">
          <color rgb="FFCCCCCC"/>
        </left>
        <right/>
        <top style="medium">
          <color rgb="FFCCCCCC"/>
        </top>
        <bottom style="medium">
          <color rgb="FFCCCCCC"/>
        </bottom>
      </border>
    </dxf>
    <dxf>
      <font>
        <b val="0"/>
        <i val="0"/>
        <strike val="0"/>
        <condense val="0"/>
        <extend val="0"/>
        <outline val="0"/>
        <shadow val="0"/>
        <u val="none"/>
        <vertAlign val="baseline"/>
        <sz val="11"/>
        <color theme="1"/>
        <name val="Calibri"/>
        <family val="2"/>
        <scheme val="none"/>
      </font>
      <numFmt numFmtId="30" formatCode="@"/>
      <fill>
        <patternFill>
          <fgColor indexed="64"/>
          <bgColor theme="3" tint="0.89999084444715716"/>
        </patternFill>
      </fill>
      <alignment horizontal="center" vertical="bottom" textRotation="0" wrapText="0"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1"/>
        <color theme="1"/>
        <name val="Calibri"/>
        <family val="2"/>
        <scheme val="none"/>
      </font>
      <numFmt numFmtId="1" formatCode="0"/>
      <fill>
        <patternFill patternType="solid">
          <fgColor indexed="64"/>
          <bgColor theme="3" tint="0.89999084444715716"/>
        </patternFill>
      </fill>
      <alignment horizontal="center" vertical="bottom" textRotation="0" wrapText="0"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1"/>
        <color theme="1"/>
        <name val="Calibri"/>
        <family val="2"/>
        <scheme val="none"/>
      </font>
      <numFmt numFmtId="164" formatCode="[$-14009]dd/mm/yyyy;@"/>
      <fill>
        <patternFill>
          <fgColor indexed="64"/>
          <bgColor theme="3" tint="0.89999084444715716"/>
        </patternFill>
      </fill>
      <alignment horizontal="center" vertical="bottom" textRotation="0" wrapText="0"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1"/>
        <color rgb="FFFF0000"/>
        <name val="Calibri"/>
        <family val="2"/>
        <scheme val="none"/>
      </font>
      <numFmt numFmtId="2" formatCode="0.00"/>
      <fill>
        <patternFill patternType="solid">
          <fgColor indexed="64"/>
          <bgColor theme="3" tint="0.89999084444715716"/>
        </patternFill>
      </fill>
      <alignment horizontal="general" vertical="bottom" textRotation="0" wrapText="0"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1"/>
        <color theme="1"/>
        <name val="Calibri"/>
        <family val="2"/>
        <scheme val="none"/>
      </font>
      <numFmt numFmtId="30" formatCode="@"/>
      <fill>
        <patternFill>
          <fgColor indexed="64"/>
          <bgColor theme="3" tint="0.89999084444715716"/>
        </patternFill>
      </fill>
      <alignment horizontal="left" vertical="bottom" textRotation="0" wrapText="0"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1"/>
        <color theme="1"/>
        <name val="Calibri"/>
        <family val="2"/>
        <scheme val="none"/>
      </font>
      <numFmt numFmtId="30" formatCode="@"/>
      <fill>
        <patternFill>
          <fgColor indexed="64"/>
          <bgColor theme="3" tint="0.89999084444715716"/>
        </patternFill>
      </fill>
      <alignment horizontal="left" vertical="bottom" textRotation="0" wrapText="0"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1"/>
        <color theme="1"/>
        <name val="Calibri"/>
        <family val="2"/>
        <scheme val="none"/>
      </font>
      <numFmt numFmtId="30" formatCode="@"/>
      <fill>
        <patternFill>
          <fgColor indexed="64"/>
          <bgColor theme="3" tint="0.89999084444715716"/>
        </patternFill>
      </fill>
      <alignment horizontal="left" vertical="bottom" textRotation="0" wrapText="0"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1"/>
        <color theme="1"/>
        <name val="Calibri"/>
        <family val="2"/>
        <scheme val="none"/>
      </font>
      <fill>
        <patternFill>
          <fgColor indexed="64"/>
          <bgColor theme="3" tint="0.89999084444715716"/>
        </patternFill>
      </fill>
      <alignment horizontal="left" vertical="bottom" textRotation="0" wrapText="0" indent="0" justifyLastLine="0" shrinkToFit="0" readingOrder="0"/>
      <border diagonalUp="0" diagonalDown="0" outline="0">
        <left style="medium">
          <color rgb="FFCCCCCC"/>
        </left>
        <right style="medium">
          <color rgb="FFCCCCCC"/>
        </right>
        <top style="medium">
          <color rgb="FFCCCCCC"/>
        </top>
        <bottom style="medium">
          <color rgb="FFCCCCCC"/>
        </bottom>
      </border>
    </dxf>
    <dxf>
      <border outline="0">
        <top style="medium">
          <color rgb="FFCCCCCC"/>
        </top>
      </border>
    </dxf>
    <dxf>
      <border outline="0">
        <top style="medium">
          <color rgb="FF000000"/>
        </top>
        <bottom style="medium">
          <color rgb="FFCCCCCC"/>
        </bottom>
      </border>
    </dxf>
    <dxf>
      <fill>
        <patternFill>
          <fgColor indexed="64"/>
          <bgColor theme="3" tint="0.89999084444715716"/>
        </patternFill>
      </fill>
      <alignment textRotation="0" wrapText="0" indent="0" justifyLastLine="0" shrinkToFit="0" readingOrder="0"/>
    </dxf>
    <dxf>
      <border outline="0">
        <bottom style="medium">
          <color rgb="FF000000"/>
        </bottom>
      </border>
    </dxf>
    <dxf>
      <font>
        <b/>
        <i val="0"/>
        <strike val="0"/>
        <condense val="0"/>
        <extend val="0"/>
        <outline val="0"/>
        <shadow val="0"/>
        <u val="none"/>
        <vertAlign val="baseline"/>
        <sz val="11"/>
        <color theme="1"/>
        <name val="Calibri"/>
        <family val="2"/>
        <scheme val="none"/>
      </font>
      <fill>
        <patternFill patternType="solid">
          <fgColor indexed="64"/>
          <bgColor theme="3" tint="0.249977111117893"/>
        </patternFill>
      </fill>
      <alignment horizontal="center" vertical="top"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left" vertical="center" textRotation="0" wrapText="0"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1"/>
        <color theme="1"/>
        <name val="Calibri"/>
        <family val="2"/>
        <scheme val="none"/>
      </font>
      <numFmt numFmtId="30" formatCode="@"/>
      <alignment horizontal="left" vertical="bottom" textRotation="0" wrapText="0"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1"/>
        <color theme="1"/>
        <name val="Calibri"/>
        <family val="2"/>
        <scheme val="none"/>
      </font>
      <numFmt numFmtId="1" formatCode="0"/>
      <alignment horizontal="center" vertical="bottom" textRotation="0" wrapText="0" indent="0" justifyLastLine="0" shrinkToFit="0" readingOrder="0"/>
      <border diagonalUp="0" diagonalDown="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1"/>
        <color theme="1"/>
        <name val="Calibri"/>
        <family val="2"/>
        <scheme val="none"/>
      </font>
      <numFmt numFmtId="164" formatCode="[$-14009]dd/mm/yyyy;@"/>
      <alignment horizontal="left" vertical="bottom" textRotation="0" wrapText="0" indent="0" justifyLastLine="0" shrinkToFit="0" readingOrder="0"/>
      <border diagonalUp="0" diagonalDown="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1"/>
        <color theme="1"/>
        <name val="Calibri"/>
        <family val="2"/>
        <scheme val="none"/>
      </font>
      <numFmt numFmtId="2" formatCode="0.00"/>
      <alignment horizontal="center" vertical="bottom" textRotation="0" wrapText="0" indent="0" justifyLastLine="0" shrinkToFit="0" readingOrder="0"/>
      <border diagonalUp="0" diagonalDown="0" outline="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1"/>
        <color theme="1"/>
        <name val="Calibri"/>
        <family val="2"/>
        <scheme val="none"/>
      </font>
      <numFmt numFmtId="30" formatCode="@"/>
      <alignment horizontal="left" vertical="bottom" textRotation="0" wrapText="0" indent="0" justifyLastLine="0" shrinkToFit="0" readingOrder="0"/>
      <border diagonalUp="0" diagonalDown="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1"/>
        <color theme="1"/>
        <name val="Calibri"/>
        <family val="2"/>
        <scheme val="none"/>
      </font>
      <numFmt numFmtId="30" formatCode="@"/>
      <alignment horizontal="left" vertical="bottom" textRotation="0" wrapText="0" indent="0" justifyLastLine="0" shrinkToFit="0" readingOrder="0"/>
      <border diagonalUp="0" diagonalDown="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1"/>
        <color theme="1"/>
        <name val="Calibri"/>
        <family val="2"/>
        <scheme val="none"/>
      </font>
      <numFmt numFmtId="30" formatCode="@"/>
      <alignment horizontal="left" vertical="bottom" textRotation="0" wrapText="0" indent="0" justifyLastLine="0" shrinkToFit="0" readingOrder="0"/>
      <border diagonalUp="0" diagonalDown="0">
        <left style="medium">
          <color rgb="FFCCCCCC"/>
        </left>
        <right style="medium">
          <color rgb="FFCCCCCC"/>
        </right>
        <top style="medium">
          <color rgb="FFCCCCCC"/>
        </top>
        <bottom style="medium">
          <color rgb="FFCCCCCC"/>
        </bottom>
      </border>
    </dxf>
    <dxf>
      <font>
        <b val="0"/>
        <i val="0"/>
        <strike val="0"/>
        <condense val="0"/>
        <extend val="0"/>
        <outline val="0"/>
        <shadow val="0"/>
        <u val="none"/>
        <vertAlign val="baseline"/>
        <sz val="11"/>
        <color theme="1"/>
        <name val="Calibri"/>
        <family val="2"/>
        <scheme val="none"/>
      </font>
      <alignment horizontal="left" vertical="bottom" textRotation="0" wrapText="0" indent="0" justifyLastLine="0" shrinkToFit="0" readingOrder="0"/>
      <border diagonalUp="0" diagonalDown="0" outline="0">
        <left style="medium">
          <color rgb="FFCCCCCC"/>
        </left>
        <right style="medium">
          <color rgb="FFCCCCCC"/>
        </right>
        <top style="medium">
          <color rgb="FFCCCCCC"/>
        </top>
        <bottom style="medium">
          <color rgb="FFCCCCCC"/>
        </bottom>
      </border>
    </dxf>
    <dxf>
      <border outline="0">
        <top style="medium">
          <color rgb="FFCCCCCC"/>
        </top>
      </border>
    </dxf>
    <dxf>
      <border outline="0">
        <top style="medium">
          <color rgb="FF000000"/>
        </top>
        <bottom style="medium">
          <color rgb="FFCCCCCC"/>
        </bottom>
      </border>
    </dxf>
    <dxf>
      <alignment textRotation="0" wrapText="0" indent="0" justifyLastLine="0" shrinkToFit="0" readingOrder="0"/>
    </dxf>
    <dxf>
      <border outline="0">
        <bottom style="medium">
          <color rgb="FF000000"/>
        </bottom>
      </border>
    </dxf>
    <dxf>
      <font>
        <b/>
        <i val="0"/>
        <strike val="0"/>
        <condense val="0"/>
        <extend val="0"/>
        <outline val="0"/>
        <shadow val="0"/>
        <u val="none"/>
        <vertAlign val="baseline"/>
        <sz val="11"/>
        <color theme="1"/>
        <name val="Calibri"/>
        <family val="2"/>
        <scheme val="none"/>
      </font>
      <alignment horizontal="center" vertical="top" textRotation="0" wrapText="0" indent="0" justifyLastLine="0" shrinkToFit="0" readingOrder="0"/>
    </dxf>
  </dxfs>
  <tableStyles count="0" defaultTableStyle="TableStyleMedium2" defaultPivotStyle="PivotStyleLight16"/>
  <colors>
    <mruColors>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pivotCacheDefinition" Target="pivotCache/pivotCacheDefinition7.xml"/><Relationship Id="rId39" Type="http://schemas.openxmlformats.org/officeDocument/2006/relationships/pivotCacheDefinition" Target="pivotCache/pivotCacheDefinition17.xml"/><Relationship Id="rId21" Type="http://schemas.openxmlformats.org/officeDocument/2006/relationships/pivotCacheDefinition" Target="pivotCache/pivotCacheDefinition2.xml"/><Relationship Id="rId34" Type="http://schemas.microsoft.com/office/2007/relationships/slicerCache" Target="slicerCaches/slicerCache1.xml"/><Relationship Id="rId42" Type="http://schemas.openxmlformats.org/officeDocument/2006/relationships/pivotTable" Target="pivotTables/pivotTable2.xml"/><Relationship Id="rId47" Type="http://schemas.openxmlformats.org/officeDocument/2006/relationships/styles" Target="styles.xml"/><Relationship Id="rId50" Type="http://schemas.openxmlformats.org/officeDocument/2006/relationships/powerPivotData" Target="model/item.data"/><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pivotCacheDefinition" Target="pivotCache/pivotCacheDefinition10.xml"/><Relationship Id="rId11" Type="http://schemas.openxmlformats.org/officeDocument/2006/relationships/worksheet" Target="worksheets/sheet11.xml"/><Relationship Id="rId24" Type="http://schemas.openxmlformats.org/officeDocument/2006/relationships/pivotCacheDefinition" Target="pivotCache/pivotCacheDefinition5.xml"/><Relationship Id="rId32" Type="http://schemas.openxmlformats.org/officeDocument/2006/relationships/pivotCacheDefinition" Target="pivotCache/pivotCacheDefinition13.xml"/><Relationship Id="rId37" Type="http://schemas.openxmlformats.org/officeDocument/2006/relationships/pivotCacheDefinition" Target="pivotCache/pivotCacheDefinition15.xml"/><Relationship Id="rId40" Type="http://schemas.openxmlformats.org/officeDocument/2006/relationships/pivotCacheDefinition" Target="pivotCache/pivotCacheDefinition18.xml"/><Relationship Id="rId45" Type="http://schemas.openxmlformats.org/officeDocument/2006/relationships/theme" Target="theme/theme1.xml"/><Relationship Id="rId53"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pivotCacheDefinition" Target="pivotCache/pivotCacheDefinition12.xml"/><Relationship Id="rId44" Type="http://schemas.openxmlformats.org/officeDocument/2006/relationships/pivotTable" Target="pivotTables/pivotTable4.xml"/><Relationship Id="rId52"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3.xml"/><Relationship Id="rId27" Type="http://schemas.openxmlformats.org/officeDocument/2006/relationships/pivotCacheDefinition" Target="pivotCache/pivotCacheDefinition8.xml"/><Relationship Id="rId30" Type="http://schemas.openxmlformats.org/officeDocument/2006/relationships/pivotCacheDefinition" Target="pivotCache/pivotCacheDefinition11.xml"/><Relationship Id="rId35" Type="http://schemas.microsoft.com/office/2007/relationships/slicerCache" Target="slicerCaches/slicerCache2.xml"/><Relationship Id="rId43" Type="http://schemas.openxmlformats.org/officeDocument/2006/relationships/pivotTable" Target="pivotTables/pivotTable3.xml"/><Relationship Id="rId48" Type="http://schemas.openxmlformats.org/officeDocument/2006/relationships/sharedStrings" Target="sharedStrings.xml"/><Relationship Id="rId8" Type="http://schemas.openxmlformats.org/officeDocument/2006/relationships/worksheet" Target="worksheets/sheet8.xml"/><Relationship Id="rId51" Type="http://schemas.microsoft.com/office/2017/10/relationships/person" Target="persons/perso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6.xml"/><Relationship Id="rId33" Type="http://schemas.openxmlformats.org/officeDocument/2006/relationships/pivotCacheDefinition" Target="pivotCache/pivotCacheDefinition14.xml"/><Relationship Id="rId38" Type="http://schemas.openxmlformats.org/officeDocument/2006/relationships/pivotCacheDefinition" Target="pivotCache/pivotCacheDefinition16.xml"/><Relationship Id="rId46" Type="http://schemas.openxmlformats.org/officeDocument/2006/relationships/connections" Target="connections.xml"/><Relationship Id="rId20" Type="http://schemas.openxmlformats.org/officeDocument/2006/relationships/pivotCacheDefinition" Target="pivotCache/pivotCacheDefinition1.xml"/><Relationship Id="rId41" Type="http://schemas.openxmlformats.org/officeDocument/2006/relationships/pivotTable" Target="pivotTables/pivotTabl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pivotCacheDefinition" Target="pivotCache/pivotCacheDefinition4.xml"/><Relationship Id="rId28" Type="http://schemas.openxmlformats.org/officeDocument/2006/relationships/pivotCacheDefinition" Target="pivotCache/pivotCacheDefinition9.xml"/><Relationship Id="rId36" Type="http://schemas.microsoft.com/office/2007/relationships/slicerCache" Target="slicerCaches/slicerCache3.xml"/><Relationship Id="rId49"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pattFill prst="ltUpDiag">
            <a:fgClr>
              <a:schemeClr val="accent1"/>
            </a:fgClr>
            <a:bgClr>
              <a:schemeClr val="lt1"/>
            </a:bgClr>
          </a:pattFill>
          <a:ln>
            <a:noFill/>
          </a:ln>
          <a:effectLst/>
        </c:spPr>
        <c:marker>
          <c:symbol val="none"/>
        </c:marker>
        <c:dLbl>
          <c:idx val="0"/>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pattFill prst="ltUpDiag">
              <a:fgClr>
                <a:schemeClr val="accent1"/>
              </a:fgClr>
              <a:bgClr>
                <a:schemeClr val="lt1"/>
              </a:bgClr>
            </a:pattFill>
            <a:ln>
              <a:noFill/>
            </a:ln>
            <a:effectLst/>
          </c:spPr>
          <c:invertIfNegative val="0"/>
          <c:cat>
            <c:strLit>
              <c:ptCount val="6"/>
              <c:pt idx="0">
                <c:v>Finance</c:v>
              </c:pt>
              <c:pt idx="1">
                <c:v>HR</c:v>
              </c:pt>
              <c:pt idx="2">
                <c:v>IT</c:v>
              </c:pt>
              <c:pt idx="3">
                <c:v>Marketing</c:v>
              </c:pt>
              <c:pt idx="4">
                <c:v>Sales</c:v>
              </c:pt>
              <c:pt idx="5">
                <c:v>Unknown</c:v>
              </c:pt>
            </c:strLit>
          </c:cat>
          <c:val>
            <c:numLit>
              <c:formatCode>General</c:formatCode>
              <c:ptCount val="6"/>
              <c:pt idx="0">
                <c:v>22</c:v>
              </c:pt>
              <c:pt idx="1">
                <c:v>24</c:v>
              </c:pt>
              <c:pt idx="2">
                <c:v>25</c:v>
              </c:pt>
              <c:pt idx="3">
                <c:v>29</c:v>
              </c:pt>
              <c:pt idx="4">
                <c:v>26</c:v>
              </c:pt>
              <c:pt idx="5">
                <c:v>24</c:v>
              </c:pt>
            </c:numLit>
          </c:val>
          <c:extLst>
            <c:ext xmlns:c16="http://schemas.microsoft.com/office/drawing/2014/chart" uri="{C3380CC4-5D6E-409C-BE32-E72D297353CC}">
              <c16:uniqueId val="{00000001-3640-48DD-A455-A372DED18C71}"/>
            </c:ext>
          </c:extLst>
        </c:ser>
        <c:dLbls>
          <c:showLegendKey val="0"/>
          <c:showVal val="0"/>
          <c:showCatName val="0"/>
          <c:showSerName val="0"/>
          <c:showPercent val="0"/>
          <c:showBubbleSize val="0"/>
        </c:dLbls>
        <c:gapWidth val="269"/>
        <c:overlap val="-20"/>
        <c:axId val="212647199"/>
        <c:axId val="212648639"/>
      </c:barChart>
      <c:catAx>
        <c:axId val="212647199"/>
        <c:scaling>
          <c:orientation val="minMax"/>
        </c:scaling>
        <c:delete val="0"/>
        <c:axPos val="b"/>
        <c:majorGridlines>
          <c:spPr>
            <a:ln w="9525" cap="flat" cmpd="sng" algn="ctr">
              <a:solidFill>
                <a:schemeClr val="lt1">
                  <a:alpha val="25000"/>
                </a:schemeClr>
              </a:solidFill>
              <a:round/>
            </a:ln>
            <a:effectLst/>
          </c:spPr>
        </c:majorGridlines>
        <c:numFmt formatCode="General" sourceLinked="0"/>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212648639"/>
        <c:crosses val="autoZero"/>
        <c:auto val="1"/>
        <c:lblAlgn val="ctr"/>
        <c:lblOffset val="100"/>
        <c:noMultiLvlLbl val="0"/>
        <c:extLst>
          <c:ext xmlns:c15="http://schemas.microsoft.com/office/drawing/2012/chart" uri="{F40574EE-89B7-4290-83BB-5DA773EAF853}">
            <c15:numFmt c:formatCode="General" c:sourceLinked="1"/>
          </c:ext>
        </c:extLst>
      </c:catAx>
      <c:valAx>
        <c:axId val="212648639"/>
        <c:scaling>
          <c:orientation val="minMax"/>
        </c:scaling>
        <c:delete val="0"/>
        <c:axPos val="l"/>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12647199"/>
        <c:crosses val="autoZero"/>
        <c:crossBetween val="between"/>
        <c:extLst>
          <c:ext xmlns:c15="http://schemas.microsoft.com/office/drawing/2012/chart" uri="{F40574EE-89B7-4290-83BB-5DA773EAF853}">
            <c15:numFmt c:formatCode="General" c:sourceLinked="1"/>
          </c:ext>
        </c:extLs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extLst>
    <c:ext xmlns:c15="http://schemas.microsoft.com/office/drawing/2012/chart" uri="{723BEF56-08C2-4564-9609-F4CBC75E7E54}">
      <c15:pivotSource>
        <c15:name>[Employee_Data_Analytics_Dashboard.xlsx]PivotChartTable2</c15:name>
        <c15:fmtId val="0"/>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7.0620953630796152E-2"/>
              <c:y val="-5.991396908719743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7.0538276465441821E-2"/>
              <c:y val="9.161927675707211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6.8081802274715636E-2"/>
              <c:y val="7.333260425780102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1.5555555555555555E-3"/>
              <c:y val="-0.1814432050160396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3.6581146106736656E-2"/>
              <c:y val="-5.487860892388451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7.9832020997375325E-2"/>
              <c:y val="-8.962489063867017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3136701662292214E-2"/>
          <c:y val="0.24306794983960339"/>
          <c:w val="0.67502755905511813"/>
          <c:h val="0.58733413531641876"/>
        </c:manualLayout>
      </c:layout>
      <c:pie3DChart>
        <c:varyColors val="1"/>
        <c:ser>
          <c:idx val="0"/>
          <c:order val="0"/>
          <c:tx>
            <c:v>Total</c:v>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Lbls>
            <c:dLbl>
              <c:idx val="0"/>
              <c:layout>
                <c:manualLayout>
                  <c:x val="-7.9832020997375325E-2"/>
                  <c:y val="-8.9624890638670171E-2"/>
                </c:manualLayout>
              </c:layout>
              <c:dLblPos val="bestFit"/>
              <c:showLegendKey val="0"/>
              <c:showVal val="1"/>
              <c:showCatName val="0"/>
              <c:showSerName val="0"/>
              <c:showPercent val="0"/>
              <c:showBubbleSize val="0"/>
              <c:extLst>
                <c:ext xmlns:c15="http://schemas.microsoft.com/office/drawing/2012/chart" uri="{CE6537A1-D6FC-4f65-9D91-7224C49458BB}"/>
              </c:extLst>
            </c:dLbl>
            <c:dLbl>
              <c:idx val="1"/>
              <c:layout>
                <c:manualLayout>
                  <c:x val="-7.0620953630796152E-2"/>
                  <c:y val="-5.9913969087197434E-2"/>
                </c:manualLayout>
              </c:layout>
              <c:dLblPos val="bestFit"/>
              <c:showLegendKey val="0"/>
              <c:showVal val="1"/>
              <c:showCatName val="0"/>
              <c:showSerName val="0"/>
              <c:showPercent val="0"/>
              <c:showBubbleSize val="0"/>
              <c:extLst>
                <c:ext xmlns:c15="http://schemas.microsoft.com/office/drawing/2012/chart" uri="{CE6537A1-D6FC-4f65-9D91-7224C49458BB}"/>
              </c:extLst>
            </c:dLbl>
            <c:dLbl>
              <c:idx val="2"/>
              <c:layout>
                <c:manualLayout>
                  <c:x val="-7.0538276465441821E-2"/>
                  <c:y val="9.1619276757072113E-2"/>
                </c:manualLayout>
              </c:layout>
              <c:dLblPos val="bestFit"/>
              <c:showLegendKey val="0"/>
              <c:showVal val="1"/>
              <c:showCatName val="0"/>
              <c:showSerName val="0"/>
              <c:showPercent val="0"/>
              <c:showBubbleSize val="0"/>
              <c:extLst>
                <c:ext xmlns:c15="http://schemas.microsoft.com/office/drawing/2012/chart" uri="{CE6537A1-D6FC-4f65-9D91-7224C49458BB}"/>
              </c:extLst>
            </c:dLbl>
            <c:dLbl>
              <c:idx val="3"/>
              <c:layout>
                <c:manualLayout>
                  <c:x val="6.8081802274715636E-2"/>
                  <c:y val="7.3332604257801026E-2"/>
                </c:manualLayout>
              </c:layout>
              <c:dLblPos val="bestFit"/>
              <c:showLegendKey val="0"/>
              <c:showVal val="1"/>
              <c:showCatName val="0"/>
              <c:showSerName val="0"/>
              <c:showPercent val="0"/>
              <c:showBubbleSize val="0"/>
              <c:extLst>
                <c:ext xmlns:c15="http://schemas.microsoft.com/office/drawing/2012/chart" uri="{CE6537A1-D6FC-4f65-9D91-7224C49458BB}"/>
              </c:extLst>
            </c:dLbl>
            <c:dLbl>
              <c:idx val="4"/>
              <c:layout>
                <c:manualLayout>
                  <c:x val="1.5555555555555555E-3"/>
                  <c:y val="-0.18144320501603967"/>
                </c:manualLayout>
              </c:layout>
              <c:dLblPos val="bestFit"/>
              <c:showLegendKey val="0"/>
              <c:showVal val="1"/>
              <c:showCatName val="0"/>
              <c:showSerName val="0"/>
              <c:showPercent val="0"/>
              <c:showBubbleSize val="0"/>
              <c:extLst>
                <c:ext xmlns:c15="http://schemas.microsoft.com/office/drawing/2012/chart" uri="{CE6537A1-D6FC-4f65-9D91-7224C49458BB}"/>
              </c:extLst>
            </c:dLbl>
            <c:dLbl>
              <c:idx val="5"/>
              <c:layout>
                <c:manualLayout>
                  <c:x val="3.6581146106736656E-2"/>
                  <c:y val="-5.4878608923884513E-2"/>
                </c:manualLayout>
              </c:layout>
              <c:dLblPos val="bestFit"/>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Lit>
              <c:ptCount val="6"/>
              <c:pt idx="0">
                <c:v>Australia</c:v>
              </c:pt>
              <c:pt idx="1">
                <c:v>Germany</c:v>
              </c:pt>
              <c:pt idx="2">
                <c:v>India</c:v>
              </c:pt>
              <c:pt idx="3">
                <c:v>UK</c:v>
              </c:pt>
              <c:pt idx="4">
                <c:v>Unknown</c:v>
              </c:pt>
              <c:pt idx="5">
                <c:v>USA</c:v>
              </c:pt>
            </c:strLit>
          </c:cat>
          <c:val>
            <c:numLit>
              <c:formatCode>General</c:formatCode>
              <c:ptCount val="6"/>
              <c:pt idx="0">
                <c:v>61609.84210526316</c:v>
              </c:pt>
              <c:pt idx="1">
                <c:v>65848.015856777507</c:v>
              </c:pt>
              <c:pt idx="2">
                <c:v>66798.768398268396</c:v>
              </c:pt>
              <c:pt idx="3">
                <c:v>62064.545384615383</c:v>
              </c:pt>
              <c:pt idx="4">
                <c:v>70458.968901949789</c:v>
              </c:pt>
              <c:pt idx="5">
                <c:v>68542.949259581874</c:v>
              </c:pt>
            </c:numLit>
          </c:val>
          <c:extLst>
            <c:ext xmlns:c16="http://schemas.microsoft.com/office/drawing/2014/chart" uri="{C3380CC4-5D6E-409C-BE32-E72D297353CC}">
              <c16:uniqueId val="{0000000D-0607-4AE3-B685-C25AD696CB95}"/>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extLst>
    <c:ext xmlns:c15="http://schemas.microsoft.com/office/drawing/2012/chart" uri="{723BEF56-08C2-4564-9609-F4CBC75E7E54}">
      <c15:pivotSource>
        <c15:name>[Employee_Data_Analytics_Dashboard.xlsx]PivotChartTable3</c15:name>
        <c15:fmtId val="0"/>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[Employee_Data_Analytics_Dashboard.xlsx]Charts &amp; Graphs (Part 1)!PivotTable1</c:name>
    <c:fmtId val="1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Total Salary by Department</a:t>
            </a:r>
          </a:p>
        </c:rich>
      </c:tx>
      <c:layout>
        <c:manualLayout>
          <c:xMode val="edge"/>
          <c:yMode val="edge"/>
          <c:x val="0.29628455818022753"/>
          <c:y val="5.9164479440069993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'Charts &amp; Graphs (Part 1)'!$C$4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'Charts &amp; Graphs (Part 1)'!$B$5:$B$11</c:f>
              <c:strCache>
                <c:ptCount val="6"/>
                <c:pt idx="0">
                  <c:v>Finance</c:v>
                </c:pt>
                <c:pt idx="1">
                  <c:v>HR</c:v>
                </c:pt>
                <c:pt idx="2">
                  <c:v>IT</c:v>
                </c:pt>
                <c:pt idx="3">
                  <c:v>Marketing</c:v>
                </c:pt>
                <c:pt idx="4">
                  <c:v>Sales</c:v>
                </c:pt>
                <c:pt idx="5">
                  <c:v>Unknown</c:v>
                </c:pt>
              </c:strCache>
            </c:strRef>
          </c:cat>
          <c:val>
            <c:numRef>
              <c:f>'Charts &amp; Graphs (Part 1)'!$C$5:$C$11</c:f>
              <c:numCache>
                <c:formatCode>General</c:formatCode>
                <c:ptCount val="6"/>
                <c:pt idx="0">
                  <c:v>1442640.5641928494</c:v>
                </c:pt>
                <c:pt idx="1">
                  <c:v>1625443.8536585364</c:v>
                </c:pt>
                <c:pt idx="2">
                  <c:v>1651012.9285714286</c:v>
                </c:pt>
                <c:pt idx="3">
                  <c:v>1847562.9862403763</c:v>
                </c:pt>
                <c:pt idx="4">
                  <c:v>1771924</c:v>
                </c:pt>
                <c:pt idx="5">
                  <c:v>1597745</c:v>
                </c:pt>
              </c:numCache>
            </c:numRef>
          </c:val>
          <c:extLst>
            <c:ext xmlns:c16="http://schemas.microsoft.com/office/drawing/2014/chart" uri="{C3380CC4-5D6E-409C-BE32-E72D297353CC}">
              <c16:uniqueId val="{00000001-9718-46F5-80E7-A88F5A338891}"/>
            </c:ext>
          </c:extLst>
        </c:ser>
        <c:dLbls>
          <c:showLegendKey val="0"/>
          <c:showVal val="0"/>
          <c:showCatName val="0"/>
          <c:showSerName val="0"/>
          <c:showPercent val="0"/>
          <c:showBubbleSize val="0"/>
        </c:dLbls>
        <c:gapWidth val="150"/>
        <c:shape val="box"/>
        <c:axId val="2134594656"/>
        <c:axId val="116902944"/>
        <c:axId val="0"/>
      </c:bar3DChart>
      <c:catAx>
        <c:axId val="21345946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6902944"/>
        <c:crosses val="autoZero"/>
        <c:auto val="1"/>
        <c:lblAlgn val="ctr"/>
        <c:lblOffset val="100"/>
        <c:noMultiLvlLbl val="0"/>
      </c:catAx>
      <c:valAx>
        <c:axId val="116902944"/>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34594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[Employee_Data_Analytics_Dashboard.xlsx]Charts &amp; Graphs (Part 1)!PivotTable2</c:name>
    <c:fmtId val="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Employee Gender Distribution</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
        <c:spPr>
          <a:solidFill>
            <a:schemeClr val="accent1"/>
          </a:solidFill>
          <a:ln>
            <a:noFill/>
          </a:ln>
          <a:effectLst>
            <a:outerShdw blurRad="254000" sx="102000" sy="102000" algn="ctr" rotWithShape="0">
              <a:prstClr val="black">
                <a:alpha val="20000"/>
              </a:prstClr>
            </a:outerShdw>
          </a:effectLst>
        </c:spPr>
        <c:dLbl>
          <c:idx val="0"/>
          <c:layout>
            <c:manualLayout>
              <c:x val="0.1111111111111111"/>
              <c:y val="-6.4814814814814811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2"/>
        <c:spPr>
          <a:solidFill>
            <a:schemeClr val="accent1"/>
          </a:solidFill>
          <a:ln>
            <a:noFill/>
          </a:ln>
          <a:effectLst>
            <a:outerShdw blurRad="254000" sx="102000" sy="102000" algn="ctr" rotWithShape="0">
              <a:prstClr val="black">
                <a:alpha val="20000"/>
              </a:prstClr>
            </a:outerShdw>
          </a:effectLst>
        </c:spPr>
        <c:dLbl>
          <c:idx val="0"/>
          <c:layout>
            <c:manualLayout>
              <c:x val="0.12222222222222222"/>
              <c:y val="8.3333333333333329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3"/>
        <c:spPr>
          <a:solidFill>
            <a:schemeClr val="accent1"/>
          </a:solidFill>
          <a:ln>
            <a:noFill/>
          </a:ln>
          <a:effectLst>
            <a:outerShdw blurRad="254000" sx="102000" sy="102000" algn="ctr" rotWithShape="0">
              <a:prstClr val="black">
                <a:alpha val="20000"/>
              </a:prstClr>
            </a:outerShdw>
          </a:effectLst>
        </c:spPr>
        <c:dLbl>
          <c:idx val="0"/>
          <c:layout>
            <c:manualLayout>
              <c:x val="-6.3888888888888884E-2"/>
              <c:y val="9.7222222222222224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15:layout>
                <c:manualLayout>
                  <c:w val="0.12147922134733156"/>
                  <c:h val="0.12813721201516476"/>
                </c:manualLayout>
              </c15:layout>
            </c:ext>
          </c:extLst>
        </c:dLbl>
      </c:pivotFmt>
      <c:pivotFmt>
        <c:idx val="4"/>
        <c:spPr>
          <a:solidFill>
            <a:schemeClr val="accent1"/>
          </a:solidFill>
          <a:ln>
            <a:noFill/>
          </a:ln>
          <a:effectLst>
            <a:outerShdw blurRad="254000" sx="102000" sy="102000" algn="ctr" rotWithShape="0">
              <a:prstClr val="black">
                <a:alpha val="20000"/>
              </a:prstClr>
            </a:outerShdw>
          </a:effectLst>
        </c:spPr>
        <c:dLbl>
          <c:idx val="0"/>
          <c:layout>
            <c:manualLayout>
              <c:x val="-7.7777777777777779E-2"/>
              <c:y val="-0.11111111111111116"/>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s>
    <c:plotArea>
      <c:layout/>
      <c:doughnutChart>
        <c:varyColors val="1"/>
        <c:ser>
          <c:idx val="0"/>
          <c:order val="0"/>
          <c:tx>
            <c:strRef>
              <c:f>'Charts &amp; Graphs (Part 1)'!$C$21</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Pt>
            <c:idx val="3"/>
            <c:bubble3D val="0"/>
            <c:spPr>
              <a:solidFill>
                <a:schemeClr val="accent4"/>
              </a:solidFill>
              <a:ln>
                <a:noFill/>
              </a:ln>
              <a:effectLst>
                <a:outerShdw blurRad="254000" sx="102000" sy="102000" algn="ctr" rotWithShape="0">
                  <a:prstClr val="black">
                    <a:alpha val="20000"/>
                  </a:prstClr>
                </a:outerShdw>
              </a:effectLst>
            </c:spPr>
          </c:dPt>
          <c:dLbls>
            <c:dLbl>
              <c:idx val="0"/>
              <c:layout>
                <c:manualLayout>
                  <c:x val="0.1111111111111111"/>
                  <c:y val="-6.4814814814814811E-2"/>
                </c:manualLayout>
              </c:layout>
              <c:showLegendKey val="0"/>
              <c:showVal val="0"/>
              <c:showCatName val="1"/>
              <c:showSerName val="0"/>
              <c:showPercent val="1"/>
              <c:showBubbleSize val="0"/>
              <c:extLst>
                <c:ext xmlns:c15="http://schemas.microsoft.com/office/drawing/2012/chart" uri="{CE6537A1-D6FC-4f65-9D91-7224C49458BB}"/>
              </c:extLst>
            </c:dLbl>
            <c:dLbl>
              <c:idx val="1"/>
              <c:layout>
                <c:manualLayout>
                  <c:x val="0.12222222222222222"/>
                  <c:y val="8.3333333333333329E-2"/>
                </c:manualLayout>
              </c:layout>
              <c:showLegendKey val="0"/>
              <c:showVal val="0"/>
              <c:showCatName val="1"/>
              <c:showSerName val="0"/>
              <c:showPercent val="1"/>
              <c:showBubbleSize val="0"/>
              <c:extLst>
                <c:ext xmlns:c15="http://schemas.microsoft.com/office/drawing/2012/chart" uri="{CE6537A1-D6FC-4f65-9D91-7224C49458BB}"/>
              </c:extLst>
            </c:dLbl>
            <c:dLbl>
              <c:idx val="2"/>
              <c:layout>
                <c:manualLayout>
                  <c:x val="-6.3888888888888884E-2"/>
                  <c:y val="9.7222222222222224E-2"/>
                </c:manualLayout>
              </c:layout>
              <c:showLegendKey val="0"/>
              <c:showVal val="0"/>
              <c:showCatName val="1"/>
              <c:showSerName val="0"/>
              <c:showPercent val="1"/>
              <c:showBubbleSize val="0"/>
              <c:extLst>
                <c:ext xmlns:c15="http://schemas.microsoft.com/office/drawing/2012/chart" uri="{CE6537A1-D6FC-4f65-9D91-7224C49458BB}">
                  <c15:layout>
                    <c:manualLayout>
                      <c:w val="0.12147922134733156"/>
                      <c:h val="0.12813721201516476"/>
                    </c:manualLayout>
                  </c15:layout>
                </c:ext>
              </c:extLst>
            </c:dLbl>
            <c:dLbl>
              <c:idx val="3"/>
              <c:layout>
                <c:manualLayout>
                  <c:x val="-7.7777777777777779E-2"/>
                  <c:y val="-0.11111111111111116"/>
                </c:manualLayout>
              </c:layout>
              <c:showLegendKey val="0"/>
              <c:showVal val="0"/>
              <c:showCatName val="1"/>
              <c:showSerName val="0"/>
              <c:showPercent val="1"/>
              <c:showBubbleSize val="0"/>
              <c:extLst>
                <c:ext xmlns:c15="http://schemas.microsoft.com/office/drawing/2012/chart" uri="{CE6537A1-D6FC-4f65-9D91-7224C49458BB}"/>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'Charts &amp; Graphs (Part 1)'!$B$22:$B$26</c:f>
              <c:strCache>
                <c:ptCount val="4"/>
                <c:pt idx="0">
                  <c:v>Female</c:v>
                </c:pt>
                <c:pt idx="1">
                  <c:v>Male</c:v>
                </c:pt>
                <c:pt idx="2">
                  <c:v>Other</c:v>
                </c:pt>
                <c:pt idx="3">
                  <c:v>Unknown</c:v>
                </c:pt>
              </c:strCache>
            </c:strRef>
          </c:cat>
          <c:val>
            <c:numRef>
              <c:f>'Charts &amp; Graphs (Part 1)'!$C$22:$C$26</c:f>
              <c:numCache>
                <c:formatCode>General</c:formatCode>
                <c:ptCount val="4"/>
                <c:pt idx="0">
                  <c:v>34</c:v>
                </c:pt>
                <c:pt idx="1">
                  <c:v>32</c:v>
                </c:pt>
                <c:pt idx="2">
                  <c:v>35</c:v>
                </c:pt>
                <c:pt idx="3">
                  <c:v>49</c:v>
                </c:pt>
              </c:numCache>
            </c:numRef>
          </c:val>
          <c:extLst>
            <c:ext xmlns:c16="http://schemas.microsoft.com/office/drawing/2014/chart" uri="{C3380CC4-5D6E-409C-BE32-E72D297353CC}">
              <c16:uniqueId val="{0000000B-756E-4C2A-A1DA-E2959F3D4EDB}"/>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[Employee_Data_Analytics_Dashboard.xlsx]Charts &amp; Graphs (Part 1)!PivotTable3</c:name>
    <c:fmtId val="2"/>
  </c:pivotSource>
  <c:chart>
    <c:autoTitleDeleted val="1"/>
    <c:pivotFmts>
      <c:pivotFmt>
        <c:idx val="0"/>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'Charts &amp; Graphs (Part 1)'!$C$38</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'Charts &amp; Graphs (Part 1)'!$B$39:$B$45</c:f>
              <c:strCache>
                <c:ptCount val="6"/>
                <c:pt idx="0">
                  <c:v>Australia</c:v>
                </c:pt>
                <c:pt idx="1">
                  <c:v>Germany</c:v>
                </c:pt>
                <c:pt idx="2">
                  <c:v>India</c:v>
                </c:pt>
                <c:pt idx="3">
                  <c:v>UK</c:v>
                </c:pt>
                <c:pt idx="4">
                  <c:v>Unknown</c:v>
                </c:pt>
                <c:pt idx="5">
                  <c:v>USA</c:v>
                </c:pt>
              </c:strCache>
            </c:strRef>
          </c:cat>
          <c:val>
            <c:numRef>
              <c:f>'Charts &amp; Graphs (Part 1)'!$C$39:$C$45</c:f>
              <c:numCache>
                <c:formatCode>General</c:formatCode>
                <c:ptCount val="6"/>
                <c:pt idx="0">
                  <c:v>19</c:v>
                </c:pt>
                <c:pt idx="1">
                  <c:v>23</c:v>
                </c:pt>
                <c:pt idx="2">
                  <c:v>28</c:v>
                </c:pt>
                <c:pt idx="3">
                  <c:v>25</c:v>
                </c:pt>
                <c:pt idx="4">
                  <c:v>31</c:v>
                </c:pt>
                <c:pt idx="5">
                  <c:v>24</c:v>
                </c:pt>
              </c:numCache>
            </c:numRef>
          </c:val>
          <c:smooth val="0"/>
          <c:extLst>
            <c:ext xmlns:c16="http://schemas.microsoft.com/office/drawing/2014/chart" uri="{C3380CC4-5D6E-409C-BE32-E72D297353CC}">
              <c16:uniqueId val="{00000002-1625-408D-BDDF-DDC8DA24B9C6}"/>
            </c:ext>
          </c:extLst>
        </c:ser>
        <c:dLbls>
          <c:dLblPos val="t"/>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020188112"/>
        <c:axId val="1020184752"/>
      </c:lineChart>
      <c:catAx>
        <c:axId val="1020188112"/>
        <c:scaling>
          <c:orientation val="minMax"/>
        </c:scaling>
        <c:delete val="0"/>
        <c:axPos val="b"/>
        <c:title>
          <c:overlay val="0"/>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020184752"/>
        <c:crosses val="autoZero"/>
        <c:auto val="1"/>
        <c:lblAlgn val="ctr"/>
        <c:lblOffset val="100"/>
        <c:noMultiLvlLbl val="0"/>
      </c:catAx>
      <c:valAx>
        <c:axId val="1020184752"/>
        <c:scaling>
          <c:orientation val="minMax"/>
        </c:scaling>
        <c:delete val="0"/>
        <c:axPos val="l"/>
        <c:title>
          <c:overlay val="0"/>
          <c:spPr>
            <a:noFill/>
            <a:ln>
              <a:noFill/>
            </a:ln>
            <a:effectLst/>
          </c:spPr>
          <c:txPr>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020188112"/>
        <c:crosses val="autoZero"/>
        <c:crossBetween val="between"/>
      </c:valAx>
      <c:dTable>
        <c:showHorzBorder val="1"/>
        <c:showVertBorder val="1"/>
        <c:showOutline val="1"/>
        <c:showKeys val="1"/>
        <c:spPr>
          <a:noFill/>
          <a:ln w="9525">
            <a:solidFill>
              <a:schemeClr val="accent1">
                <a:lumMod val="60000"/>
                <a:lumOff val="40000"/>
              </a:schemeClr>
            </a:solidFill>
          </a:ln>
          <a:effectLst/>
        </c:spPr>
        <c:txPr>
          <a:bodyPr rot="0" spcFirstLastPara="1" vertOverflow="ellipsis" vert="horz" wrap="square" anchor="ctr" anchorCtr="1"/>
          <a:lstStyle/>
          <a:p>
            <a:pPr rtl="0">
              <a:defRPr sz="900" b="0" i="0" u="none" strike="noStrike" kern="1200" baseline="0">
                <a:solidFill>
                  <a:schemeClr val="lt1"/>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pattFill prst="narHorz">
            <a:fgClr>
              <a:schemeClr val="accent1"/>
            </a:fgClr>
            <a:bgClr>
              <a:schemeClr val="accent1">
                <a:lumMod val="20000"/>
                <a:lumOff val="80000"/>
              </a:schemeClr>
            </a:bgClr>
          </a:pattFill>
          <a:ln>
            <a:noFill/>
          </a:ln>
          <a:effectLst>
            <a:innerShdw blurRad="114300">
              <a:schemeClr val="accent1"/>
            </a:innerShdw>
          </a:effectLst>
        </c:spPr>
        <c:marker>
          <c:spPr>
            <a:solidFill>
              <a:schemeClr val="accent1"/>
            </a:solidFill>
            <a:ln>
              <a:noFill/>
            </a:ln>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pPr>
            <a:solidFill>
              <a:schemeClr val="accent1"/>
            </a:solidFill>
            <a:ln>
              <a:noFill/>
            </a:ln>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4428746818170378E-2"/>
          <c:y val="0.11087036939174549"/>
          <c:w val="0.73717691152803422"/>
          <c:h val="0.67034754883827441"/>
        </c:manualLayout>
      </c:layout>
      <c:barChart>
        <c:barDir val="col"/>
        <c:grouping val="clustered"/>
        <c:varyColors val="0"/>
        <c:ser>
          <c:idx val="0"/>
          <c:order val="0"/>
          <c:tx>
            <c:v>Average of Salary</c:v>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Lit>
              <c:ptCount val="6"/>
              <c:pt idx="0">
                <c:v>Finance</c:v>
              </c:pt>
              <c:pt idx="1">
                <c:v>HR</c:v>
              </c:pt>
              <c:pt idx="2">
                <c:v>IT</c:v>
              </c:pt>
              <c:pt idx="3">
                <c:v>Marketing</c:v>
              </c:pt>
              <c:pt idx="4">
                <c:v>Sales</c:v>
              </c:pt>
              <c:pt idx="5">
                <c:v>Unknown</c:v>
              </c:pt>
            </c:strLit>
          </c:cat>
          <c:val>
            <c:numLit>
              <c:formatCode>General</c:formatCode>
              <c:ptCount val="6"/>
              <c:pt idx="0">
                <c:v>65574.571099674969</c:v>
              </c:pt>
              <c:pt idx="1">
                <c:v>67726.827235772347</c:v>
              </c:pt>
              <c:pt idx="2">
                <c:v>66040.517142857148</c:v>
              </c:pt>
              <c:pt idx="3">
                <c:v>63709.068491047459</c:v>
              </c:pt>
              <c:pt idx="4">
                <c:v>68150.923076923078</c:v>
              </c:pt>
              <c:pt idx="5">
                <c:v>66572.708333333328</c:v>
              </c:pt>
            </c:numLit>
          </c:val>
          <c:extLst>
            <c:ext xmlns:c16="http://schemas.microsoft.com/office/drawing/2014/chart" uri="{C3380CC4-5D6E-409C-BE32-E72D297353CC}">
              <c16:uniqueId val="{00000000-EAFA-432B-8D3F-3A886D914B0A}"/>
            </c:ext>
          </c:extLst>
        </c:ser>
        <c:dLbls>
          <c:showLegendKey val="0"/>
          <c:showVal val="1"/>
          <c:showCatName val="0"/>
          <c:showSerName val="0"/>
          <c:showPercent val="0"/>
          <c:showBubbleSize val="0"/>
        </c:dLbls>
        <c:gapWidth val="219"/>
        <c:overlap val="-27"/>
        <c:axId val="882261631"/>
        <c:axId val="882262591"/>
      </c:barChart>
      <c:lineChart>
        <c:grouping val="standard"/>
        <c:varyColors val="0"/>
        <c:ser>
          <c:idx val="1"/>
          <c:order val="1"/>
          <c:tx>
            <c:v>Count of Employee ID</c:v>
          </c:tx>
          <c:spPr>
            <a:ln w="28575" cap="rnd">
              <a:solidFill>
                <a:schemeClr val="accent2"/>
              </a:solidFill>
              <a:round/>
            </a:ln>
            <a:effectLst/>
          </c:spPr>
          <c:marker>
            <c:symbol val="circle"/>
            <c:size val="6"/>
            <c:spPr>
              <a:solidFill>
                <a:schemeClr val="accent2"/>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Lit>
              <c:ptCount val="6"/>
              <c:pt idx="0">
                <c:v>Finance</c:v>
              </c:pt>
              <c:pt idx="1">
                <c:v>HR</c:v>
              </c:pt>
              <c:pt idx="2">
                <c:v>IT</c:v>
              </c:pt>
              <c:pt idx="3">
                <c:v>Marketing</c:v>
              </c:pt>
              <c:pt idx="4">
                <c:v>Sales</c:v>
              </c:pt>
              <c:pt idx="5">
                <c:v>Unknown</c:v>
              </c:pt>
            </c:strLit>
          </c:cat>
          <c:val>
            <c:numLit>
              <c:formatCode>General</c:formatCode>
              <c:ptCount val="6"/>
              <c:pt idx="0">
                <c:v>22</c:v>
              </c:pt>
              <c:pt idx="1">
                <c:v>24</c:v>
              </c:pt>
              <c:pt idx="2">
                <c:v>25</c:v>
              </c:pt>
              <c:pt idx="3">
                <c:v>29</c:v>
              </c:pt>
              <c:pt idx="4">
                <c:v>26</c:v>
              </c:pt>
              <c:pt idx="5">
                <c:v>24</c:v>
              </c:pt>
            </c:numLit>
          </c:val>
          <c:smooth val="0"/>
          <c:extLst>
            <c:ext xmlns:c16="http://schemas.microsoft.com/office/drawing/2014/chart" uri="{C3380CC4-5D6E-409C-BE32-E72D297353CC}">
              <c16:uniqueId val="{00000001-EAFA-432B-8D3F-3A886D914B0A}"/>
            </c:ext>
          </c:extLst>
        </c:ser>
        <c:dLbls>
          <c:showLegendKey val="0"/>
          <c:showVal val="1"/>
          <c:showCatName val="0"/>
          <c:showSerName val="0"/>
          <c:showPercent val="0"/>
          <c:showBubbleSize val="0"/>
        </c:dLbls>
        <c:marker val="1"/>
        <c:smooth val="0"/>
        <c:axId val="861610415"/>
        <c:axId val="861606095"/>
      </c:lineChart>
      <c:catAx>
        <c:axId val="861610415"/>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1606095"/>
        <c:crosses val="autoZero"/>
        <c:auto val="1"/>
        <c:lblAlgn val="ctr"/>
        <c:lblOffset val="100"/>
        <c:noMultiLvlLbl val="0"/>
      </c:catAx>
      <c:valAx>
        <c:axId val="861606095"/>
        <c:scaling>
          <c:orientation val="minMax"/>
        </c:scaling>
        <c:delete val="0"/>
        <c:axPos val="l"/>
        <c:majorGridlines>
          <c:spPr>
            <a:ln>
              <a:solidFill>
                <a:schemeClr val="tx1">
                  <a:lumMod val="15000"/>
                  <a:lumOff val="85000"/>
                </a:schemeClr>
              </a:solidFill>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1610415"/>
        <c:crosses val="autoZero"/>
        <c:crossBetween val="between"/>
      </c:valAx>
      <c:valAx>
        <c:axId val="882262591"/>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2261631"/>
        <c:crosses val="max"/>
        <c:crossBetween val="between"/>
      </c:valAx>
      <c:catAx>
        <c:axId val="882261631"/>
        <c:scaling>
          <c:orientation val="minMax"/>
        </c:scaling>
        <c:delete val="1"/>
        <c:axPos val="b"/>
        <c:numFmt formatCode="General" sourceLinked="1"/>
        <c:majorTickMark val="none"/>
        <c:minorTickMark val="none"/>
        <c:tickLblPos val="nextTo"/>
        <c:crossAx val="882262591"/>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Count of Employees</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Lit>
              <c:ptCount val="6"/>
              <c:pt idx="0">
                <c:v>Finance</c:v>
              </c:pt>
              <c:pt idx="1">
                <c:v>HR</c:v>
              </c:pt>
              <c:pt idx="2">
                <c:v>IT</c:v>
              </c:pt>
              <c:pt idx="3">
                <c:v>Marketing</c:v>
              </c:pt>
              <c:pt idx="4">
                <c:v>Sales</c:v>
              </c:pt>
              <c:pt idx="5">
                <c:v>Unknown</c:v>
              </c:pt>
            </c:strLit>
          </c:cat>
          <c:val>
            <c:numLit>
              <c:formatCode>General</c:formatCode>
              <c:ptCount val="6"/>
              <c:pt idx="0">
                <c:v>22</c:v>
              </c:pt>
              <c:pt idx="1">
                <c:v>24</c:v>
              </c:pt>
              <c:pt idx="2">
                <c:v>25</c:v>
              </c:pt>
              <c:pt idx="3">
                <c:v>29</c:v>
              </c:pt>
              <c:pt idx="4">
                <c:v>26</c:v>
              </c:pt>
              <c:pt idx="5">
                <c:v>24</c:v>
              </c:pt>
            </c:numLit>
          </c:val>
          <c:extLst>
            <c:ext xmlns:c16="http://schemas.microsoft.com/office/drawing/2014/chart" uri="{C3380CC4-5D6E-409C-BE32-E72D297353CC}">
              <c16:uniqueId val="{00000003-A074-482D-A926-5B2AFD1D8FDA}"/>
            </c:ext>
          </c:extLst>
        </c:ser>
        <c:dLbls>
          <c:dLblPos val="outEnd"/>
          <c:showLegendKey val="0"/>
          <c:showVal val="1"/>
          <c:showCatName val="0"/>
          <c:showSerName val="0"/>
          <c:showPercent val="0"/>
          <c:showBubbleSize val="0"/>
        </c:dLbls>
        <c:gapWidth val="315"/>
        <c:overlap val="-40"/>
        <c:axId val="212647199"/>
        <c:axId val="212648639"/>
      </c:barChart>
      <c:catAx>
        <c:axId val="212647199"/>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12648639"/>
        <c:crosses val="autoZero"/>
        <c:auto val="1"/>
        <c:lblAlgn val="ctr"/>
        <c:lblOffset val="100"/>
        <c:noMultiLvlLbl val="0"/>
        <c:extLst>
          <c:ext xmlns:c15="http://schemas.microsoft.com/office/drawing/2012/chart" uri="{F40574EE-89B7-4290-83BB-5DA773EAF853}">
            <c15:numFmt c:formatCode="General" c:sourceLinked="1"/>
          </c:ext>
        </c:extLst>
      </c:catAx>
      <c:valAx>
        <c:axId val="212648639"/>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12647199"/>
        <c:crosses val="autoZero"/>
        <c:crossBetween val="between"/>
        <c:extLst>
          <c:ext xmlns:c15="http://schemas.microsoft.com/office/drawing/2012/chart" uri="{F40574EE-89B7-4290-83BB-5DA773EAF853}">
            <c15:numFmt c:formatCode="General" c:sourceLinked="1"/>
          </c:ext>
        </c:extLs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extLst>
    <c:ext xmlns:c15="http://schemas.microsoft.com/office/drawing/2012/chart" uri="{723BEF56-08C2-4564-9609-F4CBC75E7E54}">
      <c15:pivotSource>
        <c15:name>[Employee_Data_Analytics_Dashboard.xlsx]PivotChartTable1</c15:name>
        <c15:fmtId val="8"/>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7.0620953630796152E-2"/>
              <c:y val="-5.991396908719743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7.0538276465441821E-2"/>
              <c:y val="9.161927675707211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6.8081802274715636E-2"/>
              <c:y val="7.333260425780102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1.5555555555555555E-3"/>
              <c:y val="-0.1814432050160396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3.6581146106736656E-2"/>
              <c:y val="-5.487860892388451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7.9832020997375325E-2"/>
              <c:y val="-8.962489063867017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7.9832020997375325E-2"/>
              <c:y val="-8.962489063867017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7.0620953630796152E-2"/>
              <c:y val="-5.991396908719743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7.0538276465441821E-2"/>
              <c:y val="9.161927675707211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6.8081802274715636E-2"/>
              <c:y val="7.333260425780102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1.5555555555555555E-3"/>
              <c:y val="-0.1814432050160396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3.6581146106736656E-2"/>
              <c:y val="-5.487860892388451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7.9832020997375325E-2"/>
              <c:y val="-8.962489063867017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7.0620953630796152E-2"/>
              <c:y val="-5.991396908719743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7.0538276465441821E-2"/>
              <c:y val="9.161927675707211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6.8081802274715636E-2"/>
              <c:y val="7.333260425780102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1.5555555555555555E-3"/>
              <c:y val="-0.1814432050160396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
          <c:idx val="0"/>
          <c:layout>
            <c:manualLayout>
              <c:x val="3.6581146106736656E-2"/>
              <c:y val="-5.487860892388451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3136701662292214E-2"/>
          <c:y val="0.24306794983960339"/>
          <c:w val="0.67502755905511813"/>
          <c:h val="0.58733413531641876"/>
        </c:manualLayout>
      </c:layout>
      <c:pie3DChart>
        <c:varyColors val="1"/>
        <c:ser>
          <c:idx val="0"/>
          <c:order val="0"/>
          <c:tx>
            <c:v>Total</c:v>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Lbls>
            <c:dLbl>
              <c:idx val="0"/>
              <c:layout>
                <c:manualLayout>
                  <c:x val="-7.9832020997375325E-2"/>
                  <c:y val="-8.9624890638670171E-2"/>
                </c:manualLayout>
              </c:layout>
              <c:dLblPos val="bestFit"/>
              <c:showLegendKey val="0"/>
              <c:showVal val="1"/>
              <c:showCatName val="0"/>
              <c:showSerName val="0"/>
              <c:showPercent val="0"/>
              <c:showBubbleSize val="0"/>
              <c:extLst>
                <c:ext xmlns:c15="http://schemas.microsoft.com/office/drawing/2012/chart" uri="{CE6537A1-D6FC-4f65-9D91-7224C49458BB}"/>
              </c:extLst>
            </c:dLbl>
            <c:dLbl>
              <c:idx val="1"/>
              <c:layout>
                <c:manualLayout>
                  <c:x val="-7.0620953630796152E-2"/>
                  <c:y val="-5.9913969087197434E-2"/>
                </c:manualLayout>
              </c:layout>
              <c:dLblPos val="bestFit"/>
              <c:showLegendKey val="0"/>
              <c:showVal val="1"/>
              <c:showCatName val="0"/>
              <c:showSerName val="0"/>
              <c:showPercent val="0"/>
              <c:showBubbleSize val="0"/>
              <c:extLst>
                <c:ext xmlns:c15="http://schemas.microsoft.com/office/drawing/2012/chart" uri="{CE6537A1-D6FC-4f65-9D91-7224C49458BB}"/>
              </c:extLst>
            </c:dLbl>
            <c:dLbl>
              <c:idx val="2"/>
              <c:layout>
                <c:manualLayout>
                  <c:x val="-7.0538276465441821E-2"/>
                  <c:y val="9.1619276757072113E-2"/>
                </c:manualLayout>
              </c:layout>
              <c:dLblPos val="bestFit"/>
              <c:showLegendKey val="0"/>
              <c:showVal val="1"/>
              <c:showCatName val="0"/>
              <c:showSerName val="0"/>
              <c:showPercent val="0"/>
              <c:showBubbleSize val="0"/>
              <c:extLst>
                <c:ext xmlns:c15="http://schemas.microsoft.com/office/drawing/2012/chart" uri="{CE6537A1-D6FC-4f65-9D91-7224C49458BB}"/>
              </c:extLst>
            </c:dLbl>
            <c:dLbl>
              <c:idx val="3"/>
              <c:layout>
                <c:manualLayout>
                  <c:x val="6.8081802274715636E-2"/>
                  <c:y val="7.3332604257801026E-2"/>
                </c:manualLayout>
              </c:layout>
              <c:dLblPos val="bestFit"/>
              <c:showLegendKey val="0"/>
              <c:showVal val="1"/>
              <c:showCatName val="0"/>
              <c:showSerName val="0"/>
              <c:showPercent val="0"/>
              <c:showBubbleSize val="0"/>
              <c:extLst>
                <c:ext xmlns:c15="http://schemas.microsoft.com/office/drawing/2012/chart" uri="{CE6537A1-D6FC-4f65-9D91-7224C49458BB}"/>
              </c:extLst>
            </c:dLbl>
            <c:dLbl>
              <c:idx val="4"/>
              <c:layout>
                <c:manualLayout>
                  <c:x val="1.5555555555555555E-3"/>
                  <c:y val="-0.18144320501603967"/>
                </c:manualLayout>
              </c:layout>
              <c:dLblPos val="bestFit"/>
              <c:showLegendKey val="0"/>
              <c:showVal val="1"/>
              <c:showCatName val="0"/>
              <c:showSerName val="0"/>
              <c:showPercent val="0"/>
              <c:showBubbleSize val="0"/>
              <c:extLst>
                <c:ext xmlns:c15="http://schemas.microsoft.com/office/drawing/2012/chart" uri="{CE6537A1-D6FC-4f65-9D91-7224C49458BB}"/>
              </c:extLst>
            </c:dLbl>
            <c:dLbl>
              <c:idx val="5"/>
              <c:layout>
                <c:manualLayout>
                  <c:x val="3.6581146106736656E-2"/>
                  <c:y val="-5.4878608923884513E-2"/>
                </c:manualLayout>
              </c:layout>
              <c:dLblPos val="bestFit"/>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Lit>
              <c:ptCount val="6"/>
              <c:pt idx="0">
                <c:v>Australia</c:v>
              </c:pt>
              <c:pt idx="1">
                <c:v>Germany</c:v>
              </c:pt>
              <c:pt idx="2">
                <c:v>India</c:v>
              </c:pt>
              <c:pt idx="3">
                <c:v>UK</c:v>
              </c:pt>
              <c:pt idx="4">
                <c:v>Unknown</c:v>
              </c:pt>
              <c:pt idx="5">
                <c:v>USA</c:v>
              </c:pt>
            </c:strLit>
          </c:cat>
          <c:val>
            <c:numLit>
              <c:formatCode>General</c:formatCode>
              <c:ptCount val="6"/>
              <c:pt idx="0">
                <c:v>61609.84210526316</c:v>
              </c:pt>
              <c:pt idx="1">
                <c:v>65848.015856777507</c:v>
              </c:pt>
              <c:pt idx="2">
                <c:v>66798.768398268396</c:v>
              </c:pt>
              <c:pt idx="3">
                <c:v>62064.545384615383</c:v>
              </c:pt>
              <c:pt idx="4">
                <c:v>70458.968901949789</c:v>
              </c:pt>
              <c:pt idx="5">
                <c:v>68542.949259581874</c:v>
              </c:pt>
            </c:numLit>
          </c:val>
          <c:extLst>
            <c:ext xmlns:c16="http://schemas.microsoft.com/office/drawing/2014/chart" uri="{C3380CC4-5D6E-409C-BE32-E72D297353CC}">
              <c16:uniqueId val="{00000011-8EF1-4928-A4FD-464D8AD22AC2}"/>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extLst>
    <c:ext xmlns:c15="http://schemas.microsoft.com/office/drawing/2012/chart" uri="{723BEF56-08C2-4564-9609-F4CBC75E7E54}">
      <c15:pivotSource>
        <c15:name>[Employee_Data_Analytics_Dashboard.xlsx]PivotChartTable4</c15:name>
        <c15:fmtId val="10"/>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[Employee_Data_Analytics_Dashboard.xlsx]Charts &amp; Graphs (Part 1)!PivotTable1</c:name>
    <c:fmtId val="1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Total Salary by Department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'Charts &amp; Graphs (Part 1)'!$C$4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'Charts &amp; Graphs (Part 1)'!$B$5:$B$11</c:f>
              <c:strCache>
                <c:ptCount val="6"/>
                <c:pt idx="0">
                  <c:v>Finance</c:v>
                </c:pt>
                <c:pt idx="1">
                  <c:v>HR</c:v>
                </c:pt>
                <c:pt idx="2">
                  <c:v>IT</c:v>
                </c:pt>
                <c:pt idx="3">
                  <c:v>Marketing</c:v>
                </c:pt>
                <c:pt idx="4">
                  <c:v>Sales</c:v>
                </c:pt>
                <c:pt idx="5">
                  <c:v>Unknown</c:v>
                </c:pt>
              </c:strCache>
            </c:strRef>
          </c:cat>
          <c:val>
            <c:numRef>
              <c:f>'Charts &amp; Graphs (Part 1)'!$C$5:$C$11</c:f>
              <c:numCache>
                <c:formatCode>General</c:formatCode>
                <c:ptCount val="6"/>
                <c:pt idx="0">
                  <c:v>1442640.5641928494</c:v>
                </c:pt>
                <c:pt idx="1">
                  <c:v>1625443.8536585364</c:v>
                </c:pt>
                <c:pt idx="2">
                  <c:v>1651012.9285714286</c:v>
                </c:pt>
                <c:pt idx="3">
                  <c:v>1847562.9862403763</c:v>
                </c:pt>
                <c:pt idx="4">
                  <c:v>1771924</c:v>
                </c:pt>
                <c:pt idx="5">
                  <c:v>1597745</c:v>
                </c:pt>
              </c:numCache>
            </c:numRef>
          </c:val>
          <c:extLst>
            <c:ext xmlns:c16="http://schemas.microsoft.com/office/drawing/2014/chart" uri="{C3380CC4-5D6E-409C-BE32-E72D297353CC}">
              <c16:uniqueId val="{00000003-3388-474F-A764-E40FDA11FECB}"/>
            </c:ext>
          </c:extLst>
        </c:ser>
        <c:dLbls>
          <c:showLegendKey val="0"/>
          <c:showVal val="1"/>
          <c:showCatName val="0"/>
          <c:showSerName val="0"/>
          <c:showPercent val="0"/>
          <c:showBubbleSize val="0"/>
        </c:dLbls>
        <c:gapWidth val="150"/>
        <c:shape val="box"/>
        <c:axId val="2134594656"/>
        <c:axId val="116902944"/>
        <c:axId val="0"/>
      </c:bar3DChart>
      <c:catAx>
        <c:axId val="21345946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16902944"/>
        <c:crosses val="autoZero"/>
        <c:auto val="1"/>
        <c:lblAlgn val="ctr"/>
        <c:lblOffset val="100"/>
        <c:noMultiLvlLbl val="0"/>
      </c:catAx>
      <c:valAx>
        <c:axId val="116902944"/>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34594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[Employee_Data_Analytics_Dashboard.xlsx]Charts &amp; Graphs (Part 1)!PivotTable2</c:name>
    <c:fmtId val="1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Employee Gender Distribution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1"/>
          <c:showSerName val="0"/>
          <c:showPercent val="1"/>
          <c:showBubbleSize val="0"/>
          <c:extLst>
            <c:ext xmlns:c15="http://schemas.microsoft.com/office/drawing/2012/chart" uri="{CE6537A1-D6FC-4f65-9D91-7224C49458BB}"/>
          </c:extLst>
        </c:dLbl>
      </c:pivotFmt>
      <c:pivotFmt>
        <c:idx val="1"/>
        <c:dLbl>
          <c:idx val="0"/>
          <c:layout>
            <c:manualLayout>
              <c:x val="0.1111111111111111"/>
              <c:y val="-6.4814814814814811E-2"/>
            </c:manualLayout>
          </c:layout>
          <c:showLegendKey val="0"/>
          <c:showVal val="0"/>
          <c:showCatName val="1"/>
          <c:showSerName val="0"/>
          <c:showPercent val="1"/>
          <c:showBubbleSize val="0"/>
          <c:extLst>
            <c:ext xmlns:c15="http://schemas.microsoft.com/office/drawing/2012/chart" uri="{CE6537A1-D6FC-4f65-9D91-7224C49458BB}"/>
          </c:extLst>
        </c:dLbl>
      </c:pivotFmt>
      <c:pivotFmt>
        <c:idx val="2"/>
        <c:dLbl>
          <c:idx val="0"/>
          <c:layout>
            <c:manualLayout>
              <c:x val="0.12222222222222222"/>
              <c:y val="8.3333333333333329E-2"/>
            </c:manualLayout>
          </c:layout>
          <c:showLegendKey val="0"/>
          <c:showVal val="0"/>
          <c:showCatName val="1"/>
          <c:showSerName val="0"/>
          <c:showPercent val="1"/>
          <c:showBubbleSize val="0"/>
          <c:extLst>
            <c:ext xmlns:c15="http://schemas.microsoft.com/office/drawing/2012/chart" uri="{CE6537A1-D6FC-4f65-9D91-7224C49458BB}"/>
          </c:extLst>
        </c:dLbl>
      </c:pivotFmt>
      <c:pivotFmt>
        <c:idx val="3"/>
        <c:dLbl>
          <c:idx val="0"/>
          <c:layout>
            <c:manualLayout>
              <c:x val="-6.3888888888888884E-2"/>
              <c:y val="9.7222222222222224E-2"/>
            </c:manualLayout>
          </c:layout>
          <c:showLegendKey val="0"/>
          <c:showVal val="0"/>
          <c:showCatName val="1"/>
          <c:showSerName val="0"/>
          <c:showPercent val="1"/>
          <c:showBubbleSize val="0"/>
          <c:extLst>
            <c:ext xmlns:c15="http://schemas.microsoft.com/office/drawing/2012/chart" uri="{CE6537A1-D6FC-4f65-9D91-7224C49458BB}">
              <c15:layout>
                <c:manualLayout>
                  <c:w val="0.12147922134733156"/>
                  <c:h val="0.12813721201516476"/>
                </c:manualLayout>
              </c15:layout>
            </c:ext>
          </c:extLst>
        </c:dLbl>
      </c:pivotFmt>
      <c:pivotFmt>
        <c:idx val="4"/>
        <c:dLbl>
          <c:idx val="0"/>
          <c:layout>
            <c:manualLayout>
              <c:x val="-7.7777777777777779E-2"/>
              <c:y val="-0.11111111111111116"/>
            </c:manualLayout>
          </c:layout>
          <c:showLegendKey val="0"/>
          <c:showVal val="0"/>
          <c:showCatName val="1"/>
          <c:showSerName val="0"/>
          <c:showPercent val="1"/>
          <c:showBubbleSize val="0"/>
          <c:extLst>
            <c:ext xmlns:c15="http://schemas.microsoft.com/office/drawing/2012/chart" uri="{CE6537A1-D6FC-4f65-9D91-7224C49458BB}"/>
          </c:extLst>
        </c:dLbl>
      </c:pivotFmt>
      <c:pivotFmt>
        <c:idx val="5"/>
        <c:dLbl>
          <c:idx val="0"/>
          <c:showLegendKey val="0"/>
          <c:showVal val="0"/>
          <c:showCatName val="1"/>
          <c:showSerName val="0"/>
          <c:showPercent val="1"/>
          <c:showBubbleSize val="0"/>
          <c:extLst>
            <c:ext xmlns:c15="http://schemas.microsoft.com/office/drawing/2012/chart" uri="{CE6537A1-D6FC-4f65-9D91-7224C49458BB}"/>
          </c:extLst>
        </c:dLbl>
      </c:pivotFmt>
      <c:pivotFmt>
        <c:idx val="6"/>
        <c:dLbl>
          <c:idx val="0"/>
          <c:layout>
            <c:manualLayout>
              <c:x val="0.1111111111111111"/>
              <c:y val="-6.4814814814814811E-2"/>
            </c:manualLayout>
          </c:layout>
          <c:showLegendKey val="0"/>
          <c:showVal val="0"/>
          <c:showCatName val="1"/>
          <c:showSerName val="0"/>
          <c:showPercent val="1"/>
          <c:showBubbleSize val="0"/>
          <c:extLst>
            <c:ext xmlns:c15="http://schemas.microsoft.com/office/drawing/2012/chart" uri="{CE6537A1-D6FC-4f65-9D91-7224C49458BB}"/>
          </c:extLst>
        </c:dLbl>
      </c:pivotFmt>
      <c:pivotFmt>
        <c:idx val="7"/>
        <c:dLbl>
          <c:idx val="0"/>
          <c:layout>
            <c:manualLayout>
              <c:x val="0.12222222222222222"/>
              <c:y val="8.3333333333333329E-2"/>
            </c:manualLayout>
          </c:layout>
          <c:showLegendKey val="0"/>
          <c:showVal val="0"/>
          <c:showCatName val="1"/>
          <c:showSerName val="0"/>
          <c:showPercent val="1"/>
          <c:showBubbleSize val="0"/>
          <c:extLst>
            <c:ext xmlns:c15="http://schemas.microsoft.com/office/drawing/2012/chart" uri="{CE6537A1-D6FC-4f65-9D91-7224C49458BB}"/>
          </c:extLst>
        </c:dLbl>
      </c:pivotFmt>
      <c:pivotFmt>
        <c:idx val="8"/>
        <c:dLbl>
          <c:idx val="0"/>
          <c:layout>
            <c:manualLayout>
              <c:x val="-6.3888888888888884E-2"/>
              <c:y val="9.7222222222222224E-2"/>
            </c:manualLayout>
          </c:layout>
          <c:showLegendKey val="0"/>
          <c:showVal val="0"/>
          <c:showCatName val="1"/>
          <c:showSerName val="0"/>
          <c:showPercent val="1"/>
          <c:showBubbleSize val="0"/>
          <c:extLst>
            <c:ext xmlns:c15="http://schemas.microsoft.com/office/drawing/2012/chart" uri="{CE6537A1-D6FC-4f65-9D91-7224C49458BB}">
              <c15:layout>
                <c:manualLayout>
                  <c:w val="0.12147922134733156"/>
                  <c:h val="0.12813721201516476"/>
                </c:manualLayout>
              </c15:layout>
            </c:ext>
          </c:extLst>
        </c:dLbl>
      </c:pivotFmt>
      <c:pivotFmt>
        <c:idx val="9"/>
        <c:dLbl>
          <c:idx val="0"/>
          <c:layout>
            <c:manualLayout>
              <c:x val="-7.7777777777777779E-2"/>
              <c:y val="-0.11111111111111116"/>
            </c:manualLayout>
          </c:layout>
          <c:showLegendKey val="0"/>
          <c:showVal val="0"/>
          <c:showCatName val="1"/>
          <c:showSerName val="0"/>
          <c:showPercent val="1"/>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111111111111111"/>
              <c:y val="-6.4814814814814811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2222222222222222"/>
              <c:y val="8.3333333333333329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6.3888888888888884E-2"/>
              <c:y val="9.7222222222222224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7.7777777777777779E-2"/>
              <c:y val="-0.11111111111111116"/>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'Charts &amp; Graphs (Part 1)'!$C$21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FF04-480D-8A89-0CC28F19C4EF}"/>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E-FF04-480D-8A89-0CC28F19C4EF}"/>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FF04-480D-8A89-0CC28F19C4EF}"/>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0-FF04-480D-8A89-0CC28F19C4EF}"/>
              </c:ext>
            </c:extLst>
          </c:dPt>
          <c:dLbls>
            <c:dLbl>
              <c:idx val="0"/>
              <c:layout>
                <c:manualLayout>
                  <c:x val="0.1111111111111111"/>
                  <c:y val="-6.481481481481481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D-FF04-480D-8A89-0CC28F19C4EF}"/>
                </c:ext>
              </c:extLst>
            </c:dLbl>
            <c:dLbl>
              <c:idx val="1"/>
              <c:layout>
                <c:manualLayout>
                  <c:x val="0.12222222222222222"/>
                  <c:y val="8.333333333333332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E-FF04-480D-8A89-0CC28F19C4EF}"/>
                </c:ext>
              </c:extLst>
            </c:dLbl>
            <c:dLbl>
              <c:idx val="2"/>
              <c:layout>
                <c:manualLayout>
                  <c:x val="-6.3888888888888884E-2"/>
                  <c:y val="9.722222222222222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F-FF04-480D-8A89-0CC28F19C4EF}"/>
                </c:ext>
              </c:extLst>
            </c:dLbl>
            <c:dLbl>
              <c:idx val="3"/>
              <c:layout>
                <c:manualLayout>
                  <c:x val="-7.7777777777777779E-2"/>
                  <c:y val="-0.11111111111111116"/>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10-FF04-480D-8A89-0CC28F19C4EF}"/>
                </c:ext>
              </c:extLst>
            </c:dLbl>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'Charts &amp; Graphs (Part 1)'!$B$22:$B$26</c:f>
              <c:strCache>
                <c:ptCount val="4"/>
                <c:pt idx="0">
                  <c:v>Female</c:v>
                </c:pt>
                <c:pt idx="1">
                  <c:v>Male</c:v>
                </c:pt>
                <c:pt idx="2">
                  <c:v>Other</c:v>
                </c:pt>
                <c:pt idx="3">
                  <c:v>Unknown</c:v>
                </c:pt>
              </c:strCache>
            </c:strRef>
          </c:cat>
          <c:val>
            <c:numRef>
              <c:f>'Charts &amp; Graphs (Part 1)'!$C$22:$C$26</c:f>
              <c:numCache>
                <c:formatCode>General</c:formatCode>
                <c:ptCount val="4"/>
                <c:pt idx="0">
                  <c:v>34</c:v>
                </c:pt>
                <c:pt idx="1">
                  <c:v>32</c:v>
                </c:pt>
                <c:pt idx="2">
                  <c:v>35</c:v>
                </c:pt>
                <c:pt idx="3">
                  <c:v>49</c:v>
                </c:pt>
              </c:numCache>
            </c:numRef>
          </c:val>
          <c:extLst>
            <c:ext xmlns:c16="http://schemas.microsoft.com/office/drawing/2014/chart" uri="{C3380CC4-5D6E-409C-BE32-E72D297353CC}">
              <c16:uniqueId val="{0000000C-FF04-480D-8A89-0CC28F19C4E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[Employee_Data_Analytics_Dashboard.xlsx]Charts &amp; Graphs (Part 1)!PivotTable3</c:name>
    <c:fmtId val="6"/>
  </c:pivotSource>
  <c:chart>
    <c:autoTitleDeleted val="1"/>
    <c:pivotFmts>
      <c:pivotFmt>
        <c:idx val="0"/>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'Charts &amp; Graphs (Part 1)'!$C$38</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'Charts &amp; Graphs (Part 1)'!$B$39:$B$45</c:f>
              <c:strCache>
                <c:ptCount val="6"/>
                <c:pt idx="0">
                  <c:v>Australia</c:v>
                </c:pt>
                <c:pt idx="1">
                  <c:v>Germany</c:v>
                </c:pt>
                <c:pt idx="2">
                  <c:v>India</c:v>
                </c:pt>
                <c:pt idx="3">
                  <c:v>UK</c:v>
                </c:pt>
                <c:pt idx="4">
                  <c:v>Unknown</c:v>
                </c:pt>
                <c:pt idx="5">
                  <c:v>USA</c:v>
                </c:pt>
              </c:strCache>
            </c:strRef>
          </c:cat>
          <c:val>
            <c:numRef>
              <c:f>'Charts &amp; Graphs (Part 1)'!$C$39:$C$45</c:f>
              <c:numCache>
                <c:formatCode>General</c:formatCode>
                <c:ptCount val="6"/>
                <c:pt idx="0">
                  <c:v>19</c:v>
                </c:pt>
                <c:pt idx="1">
                  <c:v>23</c:v>
                </c:pt>
                <c:pt idx="2">
                  <c:v>28</c:v>
                </c:pt>
                <c:pt idx="3">
                  <c:v>25</c:v>
                </c:pt>
                <c:pt idx="4">
                  <c:v>31</c:v>
                </c:pt>
                <c:pt idx="5">
                  <c:v>24</c:v>
                </c:pt>
              </c:numCache>
            </c:numRef>
          </c:val>
          <c:smooth val="0"/>
          <c:extLst>
            <c:ext xmlns:c16="http://schemas.microsoft.com/office/drawing/2014/chart" uri="{C3380CC4-5D6E-409C-BE32-E72D297353CC}">
              <c16:uniqueId val="{00000004-6F26-4301-BB46-07B1578FB003}"/>
            </c:ext>
          </c:extLst>
        </c:ser>
        <c:dLbls>
          <c:dLblPos val="t"/>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020188112"/>
        <c:axId val="1020184752"/>
      </c:lineChart>
      <c:catAx>
        <c:axId val="1020188112"/>
        <c:scaling>
          <c:orientation val="minMax"/>
        </c:scaling>
        <c:delete val="0"/>
        <c:axPos val="b"/>
        <c:title>
          <c:overlay val="0"/>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020184752"/>
        <c:crosses val="autoZero"/>
        <c:auto val="1"/>
        <c:lblAlgn val="ctr"/>
        <c:lblOffset val="100"/>
        <c:noMultiLvlLbl val="0"/>
      </c:catAx>
      <c:valAx>
        <c:axId val="1020184752"/>
        <c:scaling>
          <c:orientation val="minMax"/>
        </c:scaling>
        <c:delete val="0"/>
        <c:axPos val="l"/>
        <c:title>
          <c:overlay val="0"/>
          <c:spPr>
            <a:noFill/>
            <a:ln>
              <a:noFill/>
            </a:ln>
            <a:effectLst/>
          </c:spPr>
          <c:txPr>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020188112"/>
        <c:crosses val="autoZero"/>
        <c:crossBetween val="between"/>
      </c:valAx>
      <c:dTable>
        <c:showHorzBorder val="1"/>
        <c:showVertBorder val="1"/>
        <c:showOutline val="1"/>
        <c:showKeys val="1"/>
        <c:spPr>
          <a:noFill/>
          <a:ln w="9525">
            <a:solidFill>
              <a:schemeClr val="accent1">
                <a:lumMod val="60000"/>
                <a:lumOff val="40000"/>
              </a:schemeClr>
            </a:solidFill>
          </a:ln>
          <a:effectLst/>
        </c:spPr>
        <c:txPr>
          <a:bodyPr rot="0" spcFirstLastPara="1" vertOverflow="ellipsis" vert="horz" wrap="square" anchor="ctr" anchorCtr="1"/>
          <a:lstStyle/>
          <a:p>
            <a:pPr rtl="0">
              <a:defRPr sz="900" b="0" i="0" u="none" strike="noStrike" kern="1200" baseline="0">
                <a:solidFill>
                  <a:schemeClr val="lt1"/>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2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cap="flat" cmpd="sng" algn="ctr">
        <a:solidFill>
          <a:schemeClr val="tx1">
            <a:lumMod val="65000"/>
            <a:lumOff val="35000"/>
          </a:schemeClr>
        </a:solidFill>
        <a:round/>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15875" cap="flat" cmpd="sng" algn="ctr">
        <a:solidFill>
          <a:schemeClr val="tx1">
            <a:lumMod val="65000"/>
            <a:lumOff val="3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495300</xdr:colOff>
      <xdr:row>12</xdr:row>
      <xdr:rowOff>7620</xdr:rowOff>
    </xdr:from>
    <xdr:to>
      <xdr:col>6</xdr:col>
      <xdr:colOff>342900</xdr:colOff>
      <xdr:row>27</xdr:row>
      <xdr:rowOff>19050</xdr:rowOff>
    </xdr:to>
    <xdr:graphicFrame macro="">
      <xdr:nvGraphicFramePr>
        <xdr:cNvPr id="2" name="Chart 1">
          <a:extLst>
            <a:ext uri="{FF2B5EF4-FFF2-40B4-BE49-F238E27FC236}">
              <a16:creationId xmlns:a16="http://schemas.microsoft.com/office/drawing/2014/main" id="{75012D6F-0412-9B43-FBC5-1454A23FC9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129540</xdr:colOff>
      <xdr:row>6</xdr:row>
      <xdr:rowOff>11430</xdr:rowOff>
    </xdr:from>
    <xdr:to>
      <xdr:col>15</xdr:col>
      <xdr:colOff>434340</xdr:colOff>
      <xdr:row>20</xdr:row>
      <xdr:rowOff>11430</xdr:rowOff>
    </xdr:to>
    <xdr:graphicFrame macro="">
      <xdr:nvGraphicFramePr>
        <xdr:cNvPr id="4" name="Chart 3">
          <a:extLst>
            <a:ext uri="{FF2B5EF4-FFF2-40B4-BE49-F238E27FC236}">
              <a16:creationId xmlns:a16="http://schemas.microsoft.com/office/drawing/2014/main" id="{EA646783-8F5A-9C3A-A857-E6078B90C2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541020</xdr:colOff>
      <xdr:row>3</xdr:row>
      <xdr:rowOff>11430</xdr:rowOff>
    </xdr:from>
    <xdr:to>
      <xdr:col>14</xdr:col>
      <xdr:colOff>426720</xdr:colOff>
      <xdr:row>16</xdr:row>
      <xdr:rowOff>99060</xdr:rowOff>
    </xdr:to>
    <xdr:graphicFrame macro="">
      <xdr:nvGraphicFramePr>
        <xdr:cNvPr id="2" name="Chart 1">
          <a:extLst>
            <a:ext uri="{FF2B5EF4-FFF2-40B4-BE49-F238E27FC236}">
              <a16:creationId xmlns:a16="http://schemas.microsoft.com/office/drawing/2014/main" id="{75084F8A-393C-2AC9-1995-68AE5536C2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129540</xdr:colOff>
      <xdr:row>19</xdr:row>
      <xdr:rowOff>3810</xdr:rowOff>
    </xdr:from>
    <xdr:to>
      <xdr:col>12</xdr:col>
      <xdr:colOff>228600</xdr:colOff>
      <xdr:row>34</xdr:row>
      <xdr:rowOff>114300</xdr:rowOff>
    </xdr:to>
    <xdr:graphicFrame macro="">
      <xdr:nvGraphicFramePr>
        <xdr:cNvPr id="3" name="Chart 2">
          <a:extLst>
            <a:ext uri="{FF2B5EF4-FFF2-40B4-BE49-F238E27FC236}">
              <a16:creationId xmlns:a16="http://schemas.microsoft.com/office/drawing/2014/main" id="{B5B201DD-5149-A2C1-557C-3137F0C24C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304800</xdr:colOff>
      <xdr:row>36</xdr:row>
      <xdr:rowOff>137160</xdr:rowOff>
    </xdr:from>
    <xdr:to>
      <xdr:col>11</xdr:col>
      <xdr:colOff>0</xdr:colOff>
      <xdr:row>52</xdr:row>
      <xdr:rowOff>148590</xdr:rowOff>
    </xdr:to>
    <xdr:graphicFrame macro="">
      <xdr:nvGraphicFramePr>
        <xdr:cNvPr id="4" name="Chart 3">
          <a:extLst>
            <a:ext uri="{FF2B5EF4-FFF2-40B4-BE49-F238E27FC236}">
              <a16:creationId xmlns:a16="http://schemas.microsoft.com/office/drawing/2014/main" id="{137ABBBC-AA3E-DAA0-8CA1-60A3878D37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746760</xdr:colOff>
      <xdr:row>3</xdr:row>
      <xdr:rowOff>171450</xdr:rowOff>
    </xdr:from>
    <xdr:to>
      <xdr:col>7</xdr:col>
      <xdr:colOff>502920</xdr:colOff>
      <xdr:row>19</xdr:row>
      <xdr:rowOff>83820</xdr:rowOff>
    </xdr:to>
    <xdr:graphicFrame macro="">
      <xdr:nvGraphicFramePr>
        <xdr:cNvPr id="2" name="Chart 1">
          <a:extLst>
            <a:ext uri="{FF2B5EF4-FFF2-40B4-BE49-F238E27FC236}">
              <a16:creationId xmlns:a16="http://schemas.microsoft.com/office/drawing/2014/main" id="{D5769C54-6180-514E-CEDE-C9F30822C0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91440</xdr:colOff>
      <xdr:row>2</xdr:row>
      <xdr:rowOff>114300</xdr:rowOff>
    </xdr:from>
    <xdr:to>
      <xdr:col>2</xdr:col>
      <xdr:colOff>228600</xdr:colOff>
      <xdr:row>16</xdr:row>
      <xdr:rowOff>127635</xdr:rowOff>
    </xdr:to>
    <mc:AlternateContent xmlns:mc="http://schemas.openxmlformats.org/markup-compatibility/2006">
      <mc:Choice xmlns:a14="http://schemas.microsoft.com/office/drawing/2010/main" Requires="a14">
        <xdr:graphicFrame macro="">
          <xdr:nvGraphicFramePr>
            <xdr:cNvPr id="5" name="Employee ID">
              <a:extLst>
                <a:ext uri="{FF2B5EF4-FFF2-40B4-BE49-F238E27FC236}">
                  <a16:creationId xmlns:a16="http://schemas.microsoft.com/office/drawing/2014/main" id="{B3D25A61-E534-C7B1-F52F-36B963891E0D}"/>
                </a:ext>
              </a:extLst>
            </xdr:cNvPr>
            <xdr:cNvGraphicFramePr/>
          </xdr:nvGraphicFramePr>
          <xdr:xfrm>
            <a:off x="0" y="0"/>
            <a:ext cx="0" cy="0"/>
          </xdr:xfrm>
          <a:graphic>
            <a:graphicData uri="http://schemas.microsoft.com/office/drawing/2010/slicer">
              <sle:slicer xmlns:sle="http://schemas.microsoft.com/office/drawing/2010/slicer" name="Employee ID"/>
            </a:graphicData>
          </a:graphic>
        </xdr:graphicFrame>
      </mc:Choice>
      <mc:Fallback>
        <xdr:sp macro="" textlink="">
          <xdr:nvSpPr>
            <xdr:cNvPr id="0" name=""/>
            <xdr:cNvSpPr>
              <a:spLocks noTextEdit="1"/>
            </xdr:cNvSpPr>
          </xdr:nvSpPr>
          <xdr:spPr>
            <a:xfrm>
              <a:off x="91440" y="563880"/>
              <a:ext cx="1828800" cy="25736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3</xdr:col>
      <xdr:colOff>381000</xdr:colOff>
      <xdr:row>3</xdr:row>
      <xdr:rowOff>144780</xdr:rowOff>
    </xdr:from>
    <xdr:to>
      <xdr:col>11</xdr:col>
      <xdr:colOff>76200</xdr:colOff>
      <xdr:row>18</xdr:row>
      <xdr:rowOff>156210</xdr:rowOff>
    </xdr:to>
    <xdr:graphicFrame macro="">
      <xdr:nvGraphicFramePr>
        <xdr:cNvPr id="2" name="Chart 1">
          <a:extLst>
            <a:ext uri="{FF2B5EF4-FFF2-40B4-BE49-F238E27FC236}">
              <a16:creationId xmlns:a16="http://schemas.microsoft.com/office/drawing/2014/main" id="{DB1FB266-7CAD-41CA-B871-B084307D38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198120</xdr:colOff>
      <xdr:row>4</xdr:row>
      <xdr:rowOff>68580</xdr:rowOff>
    </xdr:from>
    <xdr:to>
      <xdr:col>17</xdr:col>
      <xdr:colOff>472440</xdr:colOff>
      <xdr:row>17</xdr:row>
      <xdr:rowOff>60960</xdr:rowOff>
    </xdr:to>
    <xdr:graphicFrame macro="">
      <xdr:nvGraphicFramePr>
        <xdr:cNvPr id="3" name="Chart 2">
          <a:extLst>
            <a:ext uri="{FF2B5EF4-FFF2-40B4-BE49-F238E27FC236}">
              <a16:creationId xmlns:a16="http://schemas.microsoft.com/office/drawing/2014/main" id="{2F92A017-81FA-4908-8A07-DFB20C1B1F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152400</xdr:colOff>
      <xdr:row>20</xdr:row>
      <xdr:rowOff>15240</xdr:rowOff>
    </xdr:from>
    <xdr:to>
      <xdr:col>11</xdr:col>
      <xdr:colOff>144780</xdr:colOff>
      <xdr:row>33</xdr:row>
      <xdr:rowOff>102870</xdr:rowOff>
    </xdr:to>
    <xdr:graphicFrame macro="">
      <xdr:nvGraphicFramePr>
        <xdr:cNvPr id="5" name="Chart 4">
          <a:extLst>
            <a:ext uri="{FF2B5EF4-FFF2-40B4-BE49-F238E27FC236}">
              <a16:creationId xmlns:a16="http://schemas.microsoft.com/office/drawing/2014/main" id="{0D9730F9-1BB1-44D0-B3EC-E99E3AD804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342900</xdr:colOff>
      <xdr:row>20</xdr:row>
      <xdr:rowOff>15240</xdr:rowOff>
    </xdr:from>
    <xdr:to>
      <xdr:col>19</xdr:col>
      <xdr:colOff>228600</xdr:colOff>
      <xdr:row>34</xdr:row>
      <xdr:rowOff>110490</xdr:rowOff>
    </xdr:to>
    <xdr:graphicFrame macro="">
      <xdr:nvGraphicFramePr>
        <xdr:cNvPr id="7" name="Chart 6">
          <a:extLst>
            <a:ext uri="{FF2B5EF4-FFF2-40B4-BE49-F238E27FC236}">
              <a16:creationId xmlns:a16="http://schemas.microsoft.com/office/drawing/2014/main" id="{10757E4E-6CEB-4BDF-887D-4EDA9D114B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266700</xdr:colOff>
      <xdr:row>34</xdr:row>
      <xdr:rowOff>129540</xdr:rowOff>
    </xdr:from>
    <xdr:to>
      <xdr:col>10</xdr:col>
      <xdr:colOff>571500</xdr:colOff>
      <xdr:row>50</xdr:row>
      <xdr:rowOff>140970</xdr:rowOff>
    </xdr:to>
    <xdr:graphicFrame macro="">
      <xdr:nvGraphicFramePr>
        <xdr:cNvPr id="8" name="Chart 7">
          <a:extLst>
            <a:ext uri="{FF2B5EF4-FFF2-40B4-BE49-F238E27FC236}">
              <a16:creationId xmlns:a16="http://schemas.microsoft.com/office/drawing/2014/main" id="{FE12C186-2297-4702-BAFF-D17377F730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7620</xdr:colOff>
      <xdr:row>21</xdr:row>
      <xdr:rowOff>160020</xdr:rowOff>
    </xdr:from>
    <xdr:to>
      <xdr:col>3</xdr:col>
      <xdr:colOff>7620</xdr:colOff>
      <xdr:row>35</xdr:row>
      <xdr:rowOff>180975</xdr:rowOff>
    </xdr:to>
    <mc:AlternateContent xmlns:mc="http://schemas.openxmlformats.org/markup-compatibility/2006">
      <mc:Choice xmlns:a14="http://schemas.microsoft.com/office/drawing/2010/main" Requires="a14">
        <xdr:graphicFrame macro="">
          <xdr:nvGraphicFramePr>
            <xdr:cNvPr id="10" name="Department">
              <a:extLst>
                <a:ext uri="{FF2B5EF4-FFF2-40B4-BE49-F238E27FC236}">
                  <a16:creationId xmlns:a16="http://schemas.microsoft.com/office/drawing/2014/main" id="{04983139-9AC9-0563-1791-90A83FF3AB95}"/>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7620" y="416814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129540</xdr:colOff>
      <xdr:row>3</xdr:row>
      <xdr:rowOff>167640</xdr:rowOff>
    </xdr:from>
    <xdr:to>
      <xdr:col>3</xdr:col>
      <xdr:colOff>129540</xdr:colOff>
      <xdr:row>18</xdr:row>
      <xdr:rowOff>5715</xdr:rowOff>
    </xdr:to>
    <mc:AlternateContent xmlns:mc="http://schemas.openxmlformats.org/markup-compatibility/2006">
      <mc:Choice xmlns:a14="http://schemas.microsoft.com/office/drawing/2010/main" Requires="a14">
        <xdr:graphicFrame macro="">
          <xdr:nvGraphicFramePr>
            <xdr:cNvPr id="12" name="Name">
              <a:extLst>
                <a:ext uri="{FF2B5EF4-FFF2-40B4-BE49-F238E27FC236}">
                  <a16:creationId xmlns:a16="http://schemas.microsoft.com/office/drawing/2014/main" id="{6ADE4102-6DD3-ED40-E76E-EF962D2D6D3E}"/>
                </a:ext>
              </a:extLst>
            </xdr:cNvPr>
            <xdr:cNvGraphicFramePr/>
          </xdr:nvGraphicFramePr>
          <xdr:xfrm>
            <a:off x="0" y="0"/>
            <a:ext cx="0" cy="0"/>
          </xdr:xfrm>
          <a:graphic>
            <a:graphicData uri="http://schemas.microsoft.com/office/drawing/2010/slicer">
              <sle:slicer xmlns:sle="http://schemas.microsoft.com/office/drawing/2010/slicer" name="Name"/>
            </a:graphicData>
          </a:graphic>
        </xdr:graphicFrame>
      </mc:Choice>
      <mc:Fallback>
        <xdr:sp macro="" textlink="">
          <xdr:nvSpPr>
            <xdr:cNvPr id="0" name=""/>
            <xdr:cNvSpPr>
              <a:spLocks noTextEdit="1"/>
            </xdr:cNvSpPr>
          </xdr:nvSpPr>
          <xdr:spPr>
            <a:xfrm>
              <a:off x="129540" y="88392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rishna" refreshedDate="45977.39198148148" createdVersion="8" refreshedVersion="8" minRefreshableVersion="3" recordCount="150" xr:uid="{1B1A9D83-ADA1-44F4-8E72-8E5A6D701B98}">
  <cacheSource type="worksheet">
    <worksheetSource ref="A2:H152" sheet="INDEX +MATCH"/>
  </cacheSource>
  <cacheFields count="8">
    <cacheField name="Employee ID" numFmtId="0">
      <sharedItems/>
    </cacheField>
    <cacheField name="Name" numFmtId="49">
      <sharedItems/>
    </cacheField>
    <cacheField name="Department" numFmtId="49">
      <sharedItems count="6">
        <s v="Finance"/>
        <s v="HR"/>
        <s v="Sales"/>
        <s v="IT"/>
        <s v="Marketing"/>
        <s v="Unknown"/>
      </sharedItems>
    </cacheField>
    <cacheField name="Country" numFmtId="49">
      <sharedItems/>
    </cacheField>
    <cacheField name="Salary" numFmtId="2">
      <sharedItems containsSemiMixedTypes="0" containsString="0" containsNumber="1" minValue="30280" maxValue="99621"/>
    </cacheField>
    <cacheField name="Date of Joining" numFmtId="164">
      <sharedItems containsDate="1" containsMixedTypes="1" minDate="2015-01-11T00:00:00" maxDate="2017-11-13T00:00:00" count="142">
        <s v="Unknown"/>
        <d v="2015-01-11T00:00:00"/>
        <d v="2015-01-18T00:00:00"/>
        <d v="2015-01-25T00:00:00"/>
        <d v="2015-02-01T00:00:00"/>
        <d v="2015-02-08T00:00:00"/>
        <d v="2015-02-15T00:00:00"/>
        <d v="2015-02-22T00:00:00"/>
        <d v="2015-03-01T00:00:00"/>
        <d v="2015-03-08T00:00:00"/>
        <d v="2015-03-15T00:00:00"/>
        <d v="2015-03-22T00:00:00"/>
        <d v="2015-03-29T00:00:00"/>
        <d v="2015-04-05T00:00:00"/>
        <d v="2015-04-12T00:00:00"/>
        <d v="2015-04-19T00:00:00"/>
        <d v="2015-04-26T00:00:00"/>
        <d v="2015-05-03T00:00:00"/>
        <d v="2015-05-10T00:00:00"/>
        <d v="2015-05-17T00:00:00"/>
        <d v="2015-05-24T00:00:00"/>
        <d v="2015-05-31T00:00:00"/>
        <d v="2015-06-07T00:00:00"/>
        <d v="2015-06-14T00:00:00"/>
        <d v="2015-06-21T00:00:00"/>
        <d v="2015-06-28T00:00:00"/>
        <d v="2015-07-05T00:00:00"/>
        <d v="2015-07-12T00:00:00"/>
        <d v="2015-07-19T00:00:00"/>
        <d v="2015-07-26T00:00:00"/>
        <d v="2015-08-09T00:00:00"/>
        <d v="2015-08-16T00:00:00"/>
        <d v="2015-08-23T00:00:00"/>
        <d v="2015-08-30T00:00:00"/>
        <d v="2015-09-06T00:00:00"/>
        <d v="2015-09-13T00:00:00"/>
        <d v="2015-09-20T00:00:00"/>
        <d v="2015-09-27T00:00:00"/>
        <d v="2015-10-04T00:00:00"/>
        <d v="2015-10-18T00:00:00"/>
        <d v="2015-10-25T00:00:00"/>
        <d v="2015-11-01T00:00:00"/>
        <d v="2015-11-08T00:00:00"/>
        <d v="2015-11-15T00:00:00"/>
        <d v="2015-11-22T00:00:00"/>
        <d v="2015-11-29T00:00:00"/>
        <d v="2015-12-06T00:00:00"/>
        <d v="2015-12-13T00:00:00"/>
        <d v="2015-12-27T00:00:00"/>
        <d v="2016-01-03T00:00:00"/>
        <d v="2016-01-10T00:00:00"/>
        <d v="2016-01-17T00:00:00"/>
        <d v="2016-01-24T00:00:00"/>
        <d v="2016-01-31T00:00:00"/>
        <d v="2016-02-07T00:00:00"/>
        <d v="2016-02-14T00:00:00"/>
        <d v="2016-02-21T00:00:00"/>
        <d v="2016-03-06T00:00:00"/>
        <d v="2016-03-13T00:00:00"/>
        <d v="2016-03-20T00:00:00"/>
        <d v="2016-03-27T00:00:00"/>
        <d v="2016-04-03T00:00:00"/>
        <d v="2016-04-10T00:00:00"/>
        <d v="2016-04-17T00:00:00"/>
        <d v="2016-04-24T00:00:00"/>
        <d v="2016-05-01T00:00:00"/>
        <d v="2016-05-08T00:00:00"/>
        <d v="2016-05-15T00:00:00"/>
        <d v="2016-05-22T00:00:00"/>
        <d v="2016-05-29T00:00:00"/>
        <d v="2016-06-05T00:00:00"/>
        <d v="2016-06-12T00:00:00"/>
        <d v="2016-06-19T00:00:00"/>
        <d v="2016-06-26T00:00:00"/>
        <d v="2016-07-03T00:00:00"/>
        <d v="2016-07-10T00:00:00"/>
        <d v="2016-07-24T00:00:00"/>
        <d v="2016-07-31T00:00:00"/>
        <d v="2016-08-07T00:00:00"/>
        <d v="2016-08-14T00:00:00"/>
        <d v="2016-08-21T00:00:00"/>
        <d v="2016-08-28T00:00:00"/>
        <d v="2016-09-04T00:00:00"/>
        <d v="2016-09-11T00:00:00"/>
        <d v="2016-09-18T00:00:00"/>
        <d v="2016-09-25T00:00:00"/>
        <d v="2016-10-02T00:00:00"/>
        <d v="2016-10-09T00:00:00"/>
        <d v="2016-10-16T00:00:00"/>
        <d v="2016-10-23T00:00:00"/>
        <d v="2016-10-30T00:00:00"/>
        <d v="2016-11-06T00:00:00"/>
        <d v="2016-11-13T00:00:00"/>
        <d v="2016-11-20T00:00:00"/>
        <d v="2016-11-27T00:00:00"/>
        <d v="2016-12-04T00:00:00"/>
        <d v="2016-12-11T00:00:00"/>
        <d v="2016-12-18T00:00:00"/>
        <d v="2016-12-25T00:00:00"/>
        <d v="2017-01-01T00:00:00"/>
        <d v="2017-01-08T00:00:00"/>
        <d v="2017-01-15T00:00:00"/>
        <d v="2017-01-22T00:00:00"/>
        <d v="2017-01-29T00:00:00"/>
        <d v="2017-02-05T00:00:00"/>
        <d v="2017-02-19T00:00:00"/>
        <d v="2017-02-26T00:00:00"/>
        <d v="2017-03-05T00:00:00"/>
        <d v="2017-03-12T00:00:00"/>
        <d v="2017-03-19T00:00:00"/>
        <d v="2017-03-26T00:00:00"/>
        <d v="2017-04-02T00:00:00"/>
        <d v="2017-04-09T00:00:00"/>
        <d v="2017-04-16T00:00:00"/>
        <d v="2017-04-30T00:00:00"/>
        <d v="2017-05-07T00:00:00"/>
        <d v="2017-05-14T00:00:00"/>
        <d v="2017-05-21T00:00:00"/>
        <d v="2017-05-28T00:00:00"/>
        <d v="2017-06-04T00:00:00"/>
        <d v="2017-06-11T00:00:00"/>
        <d v="2017-06-18T00:00:00"/>
        <d v="2017-06-25T00:00:00"/>
        <d v="2017-07-09T00:00:00"/>
        <d v="2017-07-16T00:00:00"/>
        <d v="2017-07-23T00:00:00"/>
        <d v="2017-07-30T00:00:00"/>
        <d v="2017-08-06T00:00:00"/>
        <d v="2017-08-13T00:00:00"/>
        <d v="2017-08-20T00:00:00"/>
        <d v="2017-08-27T00:00:00"/>
        <d v="2017-09-03T00:00:00"/>
        <d v="2017-09-10T00:00:00"/>
        <d v="2017-09-17T00:00:00"/>
        <d v="2017-09-24T00:00:00"/>
        <d v="2017-10-01T00:00:00"/>
        <d v="2017-10-08T00:00:00"/>
        <d v="2017-10-15T00:00:00"/>
        <d v="2017-10-22T00:00:00"/>
        <d v="2017-10-29T00:00:00"/>
        <d v="2017-11-05T00:00:00"/>
        <d v="2017-11-12T00:00:00"/>
      </sharedItems>
    </cacheField>
    <cacheField name="Performance Rating" numFmtId="1">
      <sharedItems containsSemiMixedTypes="0" containsString="0" containsNumber="1" minValue="1" maxValue="5"/>
    </cacheField>
    <cacheField name="Gender" numFmtId="49">
      <sharedItems count="4">
        <s v="Unknown"/>
        <s v="Other"/>
        <s v="Male"/>
        <s v="Female"/>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ishna" refreshedDate="45978.252410069443" backgroundQuery="1" createdVersion="8" refreshedVersion="8" minRefreshableVersion="3" recordCount="0" supportSubquery="1" supportAdvancedDrill="1" xr:uid="{9B83DA1B-683D-45A5-BE1B-0FB54892E6FA}">
  <cacheSource type="external" connectionId="2"/>
  <cacheFields count="3">
    <cacheField name="[Range].[Country].[Country]" caption="Country" numFmtId="0" hierarchy="3" level="1">
      <sharedItems count="6">
        <s v="Australia"/>
        <s v="Germany"/>
        <s v="India"/>
        <s v="UK"/>
        <s v="Unknown"/>
        <s v="USA"/>
      </sharedItems>
    </cacheField>
    <cacheField name="[Measures].[Count of Employee ID 2]" caption="Count of Employee ID 2" numFmtId="0" hierarchy="50" level="32767"/>
    <cacheField name="[Range 2].[Name].[Name]" caption="Name" numFmtId="0" hierarchy="17" level="1">
      <sharedItems containsSemiMixedTypes="0" containsNonDate="0" containsString="0"/>
    </cacheField>
  </cacheFields>
  <cacheHierarchies count="52">
    <cacheHierarchy uniqueName="[Range].[Employee ID]" caption="Employee ID" attribute="1" defaultMemberUniqueName="[Range].[Employee ID].[All]" allUniqueName="[Range].[Employee ID].[All]" dimensionUniqueName="[Range]" displayFolder="" count="0" memberValueDatatype="130" unbalanced="0"/>
    <cacheHierarchy uniqueName="[Range].[Name]" caption="Name" attribute="1" defaultMemberUniqueName="[Range].[Name].[All]" allUniqueName="[Range].[Name].[All]" dimensionUniqueName="[Range]" displayFolder="" count="0" memberValueDatatype="130" unbalanced="0"/>
    <cacheHierarchy uniqueName="[Range].[Department]" caption="Department" attribute="1" defaultMemberUniqueName="[Range].[Department].[All]" allUniqueName="[Range].[Department].[All]" dimensionUniqueName="[Range]" displayFolder="" count="2" memberValueDatatype="130" unbalanced="0"/>
    <cacheHierarchy uniqueName="[Range].[Country]" caption="Country" attribute="1" defaultMemberUniqueName="[Range].[Country].[All]" allUniqueName="[Range].[Country].[All]" dimensionUniqueName="[Range]" displayFolder="" count="2" memberValueDatatype="130" unbalanced="0">
      <fieldsUsage count="2">
        <fieldUsage x="-1"/>
        <fieldUsage x="0"/>
      </fieldsUsage>
    </cacheHierarchy>
    <cacheHierarchy uniqueName="[Range].[Salary]" caption="Salary" attribute="1" defaultMemberUniqueName="[Range].[Salary].[All]" allUniqueName="[Range].[Salary].[All]" dimensionUniqueName="[Range]" displayFolder="" count="0" memberValueDatatype="5" unbalanced="0"/>
    <cacheHierarchy uniqueName="[Range].[Date of Joining]" caption="Date of Joining" attribute="1" defaultMemberUniqueName="[Range].[Date of Joining].[All]" allUniqueName="[Range].[Date of Joining].[All]" dimensionUniqueName="[Range]" displayFolder="" count="0" memberValueDatatype="130" unbalanced="0"/>
    <cacheHierarchy uniqueName="[Range].[Performance Rating]" caption="Performance Rating" attribute="1" defaultMemberUniqueName="[Range].[Performance Rating].[All]" allUniqueName="[Range].[Performance Rating].[All]" dimensionUniqueName="[Range]" displayFolder="" count="0" memberValueDatatype="5" unbalanced="0"/>
    <cacheHierarchy uniqueName="[Range].[Gender]" caption="Gender" attribute="1" defaultMemberUniqueName="[Range].[Gender].[All]" allUniqueName="[Range].[Gender].[All]" dimensionUniqueName="[Range]" displayFolder="" count="0" memberValueDatatype="130" unbalanced="0"/>
    <cacheHierarchy uniqueName="[Range 1].[Employee ID]" caption="Employee ID" attribute="1" defaultMemberUniqueName="[Range 1].[Employee ID].[All]" allUniqueName="[Range 1].[Employee ID].[All]" dimensionUniqueName="[Range 1]" displayFolder="" count="0" memberValueDatatype="130" unbalanced="0"/>
    <cacheHierarchy uniqueName="[Range 1].[Name]" caption="Name" attribute="1" defaultMemberUniqueName="[Range 1].[Name].[All]" allUniqueName="[Range 1].[Name].[All]" dimensionUniqueName="[Range 1]" displayFolder="" count="0" memberValueDatatype="130" unbalanced="0"/>
    <cacheHierarchy uniqueName="[Range 1].[Department]" caption="Department" attribute="1" defaultMemberUniqueName="[Range 1].[Department].[All]" allUniqueName="[Range 1].[Department].[All]" dimensionUniqueName="[Range 1]" displayFolder="" count="0" memberValueDatatype="130" unbalanced="0"/>
    <cacheHierarchy uniqueName="[Range 1].[Country]" caption="Country" attribute="1" defaultMemberUniqueName="[Range 1].[Country].[All]" allUniqueName="[Range 1].[Country].[All]" dimensionUniqueName="[Range 1]" displayFolder="" count="0" memberValueDatatype="130" unbalanced="0"/>
    <cacheHierarchy uniqueName="[Range 1].[Salary]" caption="Salary" attribute="1" defaultMemberUniqueName="[Range 1].[Salary].[All]" allUniqueName="[Range 1].[Salary].[All]" dimensionUniqueName="[Range 1]" displayFolder="" count="0" memberValueDatatype="5" unbalanced="0"/>
    <cacheHierarchy uniqueName="[Range 1].[Date of Joining]" caption="Date of Joining" attribute="1" defaultMemberUniqueName="[Range 1].[Date of Joining].[All]" allUniqueName="[Range 1].[Date of Joining].[All]" dimensionUniqueName="[Range 1]" displayFolder="" count="0" memberValueDatatype="130" unbalanced="0"/>
    <cacheHierarchy uniqueName="[Range 1].[Performance Rating]" caption="Performance Rating" attribute="1" defaultMemberUniqueName="[Range 1].[Performance Rating].[All]" allUniqueName="[Range 1].[Performance Rating].[All]" dimensionUniqueName="[Range 1]" displayFolder="" count="0" memberValueDatatype="5" unbalanced="0"/>
    <cacheHierarchy uniqueName="[Range 1].[Gender]" caption="Gender" attribute="1" defaultMemberUniqueName="[Range 1].[Gender].[All]" allUniqueName="[Range 1].[Gender].[All]" dimensionUniqueName="[Range 1]" displayFolder="" count="0" memberValueDatatype="130" unbalanced="0"/>
    <cacheHierarchy uniqueName="[Range 2].[Employee ID]" caption="Employee ID" attribute="1" defaultMemberUniqueName="[Range 2].[Employee ID].[All]" allUniqueName="[Range 2].[Employee ID].[All]" dimensionUniqueName="[Range 2]" displayFolder="" count="0" memberValueDatatype="130" unbalanced="0"/>
    <cacheHierarchy uniqueName="[Range 2].[Name]" caption="Name" attribute="1" defaultMemberUniqueName="[Range 2].[Name].[All]" allUniqueName="[Range 2].[Name].[All]" dimensionUniqueName="[Range 2]" displayFolder="" count="2" memberValueDatatype="130" unbalanced="0">
      <fieldsUsage count="2">
        <fieldUsage x="-1"/>
        <fieldUsage x="2"/>
      </fieldsUsage>
    </cacheHierarchy>
    <cacheHierarchy uniqueName="[Range 2].[Department]" caption="Department" attribute="1" defaultMemberUniqueName="[Range 2].[Department].[All]" allUniqueName="[Range 2].[Department].[All]" dimensionUniqueName="[Range 2]" displayFolder="" count="0" memberValueDatatype="130" unbalanced="0"/>
    <cacheHierarchy uniqueName="[Range 2].[Country]" caption="Country" attribute="1" defaultMemberUniqueName="[Range 2].[Country].[All]" allUniqueName="[Range 2].[Country].[All]" dimensionUniqueName="[Range 2]" displayFolder="" count="0" memberValueDatatype="130" unbalanced="0"/>
    <cacheHierarchy uniqueName="[Range 2].[Salary]" caption="Salary" attribute="1" defaultMemberUniqueName="[Range 2].[Salary].[All]" allUniqueName="[Range 2].[Salary].[All]" dimensionUniqueName="[Range 2]" displayFolder="" count="0" memberValueDatatype="5" unbalanced="0"/>
    <cacheHierarchy uniqueName="[Range 2].[Date of Joining]" caption="Date of Joining" attribute="1" defaultMemberUniqueName="[Range 2].[Date of Joining].[All]" allUniqueName="[Range 2].[Date of Joining].[All]" dimensionUniqueName="[Range 2]" displayFolder="" count="0" memberValueDatatype="130" unbalanced="0"/>
    <cacheHierarchy uniqueName="[Range 2].[Performance Rating]" caption="Performance Rating" attribute="1" defaultMemberUniqueName="[Range 2].[Performance Rating].[All]" allUniqueName="[Range 2].[Performance Rating].[All]" dimensionUniqueName="[Range 2]" displayFolder="" count="0" memberValueDatatype="5" unbalanced="0"/>
    <cacheHierarchy uniqueName="[Range 2].[Gender]" caption="Gender" attribute="1" defaultMemberUniqueName="[Range 2].[Gender].[All]" allUniqueName="[Range 2].[Gender].[All]" dimensionUniqueName="[Range 2]" displayFolder="" count="0" memberValueDatatype="130" unbalanced="0"/>
    <cacheHierarchy uniqueName="[Table117  Employee ID   Gender].[Employee ID]" caption="Employee ID" attribute="1" defaultMemberUniqueName="[Table117  Employee ID   Gender].[Employee ID].[All]" allUniqueName="[Table117  Employee ID   Gender].[Employee ID].[All]" dimensionUniqueName="[Table117  Employee ID   Gender]" displayFolder="" count="0" memberValueDatatype="130" unbalanced="0"/>
    <cacheHierarchy uniqueName="[Table117  Employee ID   Gender].[Name]" caption="Name" attribute="1" defaultMemberUniqueName="[Table117  Employee ID   Gender].[Name].[All]" allUniqueName="[Table117  Employee ID   Gender].[Name].[All]" dimensionUniqueName="[Table117  Employee ID   Gender]" displayFolder="" count="0" memberValueDatatype="130" unbalanced="0"/>
    <cacheHierarchy uniqueName="[Table117  Employee ID   Gender].[Department]" caption="Department" attribute="1" defaultMemberUniqueName="[Table117  Employee ID   Gender].[Department].[All]" allUniqueName="[Table117  Employee ID   Gender].[Department].[All]" dimensionUniqueName="[Table117  Employee ID   Gender]" displayFolder="" count="0" memberValueDatatype="130" unbalanced="0"/>
    <cacheHierarchy uniqueName="[Table117  Employee ID   Gender].[Country]" caption="Country" attribute="1" defaultMemberUniqueName="[Table117  Employee ID   Gender].[Country].[All]" allUniqueName="[Table117  Employee ID   Gender].[Country].[All]" dimensionUniqueName="[Table117  Employee ID   Gender]" displayFolder="" count="0" memberValueDatatype="130" unbalanced="0"/>
    <cacheHierarchy uniqueName="[Table117  Employee ID   Gender].[Salary]" caption="Salary" attribute="1" defaultMemberUniqueName="[Table117  Employee ID   Gender].[Salary].[All]" allUniqueName="[Table117  Employee ID   Gender].[Salary].[All]" dimensionUniqueName="[Table117  Employee ID   Gender]" displayFolder="" count="0" memberValueDatatype="5" unbalanced="0"/>
    <cacheHierarchy uniqueName="[Table117  Employee ID   Gender].[Date of Joining]" caption="Date of Joining" attribute="1" defaultMemberUniqueName="[Table117  Employee ID   Gender].[Date of Joining].[All]" allUniqueName="[Table117  Employee ID   Gender].[Date of Joining].[All]" dimensionUniqueName="[Table117  Employee ID   Gender]" displayFolder="" count="0" memberValueDatatype="130" unbalanced="0"/>
    <cacheHierarchy uniqueName="[Table117  Employee ID   Gender].[Joined Month]" caption="Joined Month" attribute="1" defaultMemberUniqueName="[Table117  Employee ID   Gender].[Joined Month].[All]" allUniqueName="[Table117  Employee ID   Gender].[Joined Month].[All]" dimensionUniqueName="[Table117  Employee ID   Gender]" displayFolder="" count="0" memberValueDatatype="130" unbalanced="0"/>
    <cacheHierarchy uniqueName="[Table117  Employee ID   Gender].[Performance Rating]" caption="Performance Rating" attribute="1" defaultMemberUniqueName="[Table117  Employee ID   Gender].[Performance Rating].[All]" allUniqueName="[Table117  Employee ID   Gender].[Performance Rating].[All]" dimensionUniqueName="[Table117  Employee ID   Gender]" displayFolder="" count="0" memberValueDatatype="5" unbalanced="0"/>
    <cacheHierarchy uniqueName="[Table117  Employee ID   Gender].[Gender]" caption="Gender" attribute="1" defaultMemberUniqueName="[Table117  Employee ID   Gender].[Gender].[All]" allUniqueName="[Table117  Employee ID   Gender].[Gender].[All]" dimensionUniqueName="[Table117  Employee ID   Gender]" displayFolder="" count="0" memberValueDatatype="130" unbalanced="0"/>
    <cacheHierarchy uniqueName="[Measures].[__XL_Count Range]" caption="__XL_Count Range" measure="1" displayFolder="" measureGroup="Range" count="0" hidden="1"/>
    <cacheHierarchy uniqueName="[Measures].[__XL_Count Table117  Employee ID   Gender]" caption="__XL_Count Table117  Employee ID   Gender" measure="1" displayFolder="" measureGroup="Table117  Employee ID   Gender"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No measures defined]" caption="__No measures defined" measure="1" displayFolder="" count="0" hidden="1"/>
    <cacheHierarchy uniqueName="[Measures].[Sum of Performance Rating]" caption="Sum of Performance Rating" measure="1" displayFolder="" measureGroup="Range" count="0" hidden="1">
      <extLst>
        <ext xmlns:x15="http://schemas.microsoft.com/office/spreadsheetml/2010/11/main" uri="{B97F6D7D-B522-45F9-BDA1-12C45D357490}">
          <x15:cacheHierarchy aggregatedColumn="6"/>
        </ext>
      </extLst>
    </cacheHierarchy>
    <cacheHierarchy uniqueName="[Measures].[Max of Performance Rating]" caption="Max of Performance Rating" measure="1" displayFolder="" measureGroup="Range" count="0" hidden="1">
      <extLst>
        <ext xmlns:x15="http://schemas.microsoft.com/office/spreadsheetml/2010/11/main" uri="{B97F6D7D-B522-45F9-BDA1-12C45D357490}">
          <x15:cacheHierarchy aggregatedColumn="6"/>
        </ext>
      </extLst>
    </cacheHierarchy>
    <cacheHierarchy uniqueName="[Measures].[Sum of Salary]" caption="Sum of Salary" measure="1" displayFolder="" measureGroup="Range" count="0" hidden="1">
      <extLst>
        <ext xmlns:x15="http://schemas.microsoft.com/office/spreadsheetml/2010/11/main" uri="{B97F6D7D-B522-45F9-BDA1-12C45D357490}">
          <x15:cacheHierarchy aggregatedColumn="4"/>
        </ext>
      </extLst>
    </cacheHierarchy>
    <cacheHierarchy uniqueName="[Measures].[Average of Salary]" caption="Average of Salary" measure="1" displayFolder="" measureGroup="Range" count="0" hidden="1">
      <extLst>
        <ext xmlns:x15="http://schemas.microsoft.com/office/spreadsheetml/2010/11/main" uri="{B97F6D7D-B522-45F9-BDA1-12C45D357490}">
          <x15:cacheHierarchy aggregatedColumn="4"/>
        </ext>
      </extLst>
    </cacheHierarchy>
    <cacheHierarchy uniqueName="[Measures].[Count of Joined Month]" caption="Count of Joined Month" measure="1" displayFolder="" measureGroup="Table117  Employee ID   Gender" count="0" hidden="1">
      <extLst>
        <ext xmlns:x15="http://schemas.microsoft.com/office/spreadsheetml/2010/11/main" uri="{B97F6D7D-B522-45F9-BDA1-12C45D357490}">
          <x15:cacheHierarchy aggregatedColumn="30"/>
        </ext>
      </extLst>
    </cacheHierarchy>
    <cacheHierarchy uniqueName="[Measures].[Sum of Salary 2]" caption="Sum of Salary 2" measure="1" displayFolder="" measureGroup="Table117  Employee ID   Gender" count="0" hidden="1">
      <extLst>
        <ext xmlns:x15="http://schemas.microsoft.com/office/spreadsheetml/2010/11/main" uri="{B97F6D7D-B522-45F9-BDA1-12C45D357490}">
          <x15:cacheHierarchy aggregatedColumn="28"/>
        </ext>
      </extLst>
    </cacheHierarchy>
    <cacheHierarchy uniqueName="[Measures].[Min of Salary]" caption="Min of Salary" measure="1" displayFolder="" measureGroup="Table117  Employee ID   Gender" count="0" hidden="1">
      <extLst>
        <ext xmlns:x15="http://schemas.microsoft.com/office/spreadsheetml/2010/11/main" uri="{B97F6D7D-B522-45F9-BDA1-12C45D357490}">
          <x15:cacheHierarchy aggregatedColumn="28"/>
        </ext>
      </extLst>
    </cacheHierarchy>
    <cacheHierarchy uniqueName="[Measures].[Sum of Salary 3]" caption="Sum of Salary 3" measure="1" displayFolder="" measureGroup="Range 1" count="0" hidden="1">
      <extLst>
        <ext xmlns:x15="http://schemas.microsoft.com/office/spreadsheetml/2010/11/main" uri="{B97F6D7D-B522-45F9-BDA1-12C45D357490}">
          <x15:cacheHierarchy aggregatedColumn="12"/>
        </ext>
      </extLst>
    </cacheHierarchy>
    <cacheHierarchy uniqueName="[Measures].[Count of Name]" caption="Count of Name" measure="1" displayFolder="" measureGroup="Range 1" count="0" hidden="1">
      <extLst>
        <ext xmlns:x15="http://schemas.microsoft.com/office/spreadsheetml/2010/11/main" uri="{B97F6D7D-B522-45F9-BDA1-12C45D357490}">
          <x15:cacheHierarchy aggregatedColumn="9"/>
        </ext>
      </extLst>
    </cacheHierarchy>
    <cacheHierarchy uniqueName="[Measures].[Count of Employee ID]" caption="Count of Employee ID" measure="1" displayFolder="" measureGroup="Range 2" count="0" hidden="1">
      <extLst>
        <ext xmlns:x15="http://schemas.microsoft.com/office/spreadsheetml/2010/11/main" uri="{B97F6D7D-B522-45F9-BDA1-12C45D357490}">
          <x15:cacheHierarchy aggregatedColumn="16"/>
        </ext>
      </extLst>
    </cacheHierarchy>
    <cacheHierarchy uniqueName="[Measures].[Sum of Salary 4]" caption="Sum of Salary 4" measure="1" displayFolder="" measureGroup="Range 2" count="0" hidden="1">
      <extLst>
        <ext xmlns:x15="http://schemas.microsoft.com/office/spreadsheetml/2010/11/main" uri="{B97F6D7D-B522-45F9-BDA1-12C45D357490}">
          <x15:cacheHierarchy aggregatedColumn="20"/>
        </ext>
      </extLst>
    </cacheHierarchy>
    <cacheHierarchy uniqueName="[Measures].[Average of Salary 2]" caption="Average of Salary 2" measure="1" displayFolder="" measureGroup="Range 2" count="0" hidden="1">
      <extLst>
        <ext xmlns:x15="http://schemas.microsoft.com/office/spreadsheetml/2010/11/main" uri="{B97F6D7D-B522-45F9-BDA1-12C45D357490}">
          <x15:cacheHierarchy aggregatedColumn="20"/>
        </ext>
      </extLst>
    </cacheHierarchy>
    <cacheHierarchy uniqueName="[Measures].[Count of Employee ID 2]" caption="Count of Employee ID 2" measure="1" displayFolder="" measureGroup="Range"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Department]" caption="Count of Department" measure="1" displayFolder="" measureGroup="Range" count="0" hidden="1">
      <extLst>
        <ext xmlns:x15="http://schemas.microsoft.com/office/spreadsheetml/2010/11/main" uri="{B97F6D7D-B522-45F9-BDA1-12C45D357490}">
          <x15:cacheHierarchy aggregatedColumn="2"/>
        </ext>
      </extLst>
    </cacheHierarchy>
  </cacheHierarchies>
  <kpis count="0"/>
  <dimensions count="5">
    <dimension measure="1" name="Measures" uniqueName="[Measures]" caption="Measures"/>
    <dimension name="Range" uniqueName="[Range]" caption="Range"/>
    <dimension name="Range 1" uniqueName="[Range 1]" caption="Range 1"/>
    <dimension name="Range 2" uniqueName="[Range 2]" caption="Range 2"/>
    <dimension name="Table117  Employee ID   Gender" uniqueName="[Table117  Employee ID   Gender]" caption="Table117  Employee ID   Gender"/>
  </dimensions>
  <measureGroups count="4">
    <measureGroup name="Range" caption="Range"/>
    <measureGroup name="Range 1" caption="Range 1"/>
    <measureGroup name="Range 2" caption="Range 2"/>
    <measureGroup name="Table117  Employee ID   Gender" caption="Table117  Employee ID   Gender"/>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ishna" refreshedDate="45978.252410648151" backgroundQuery="1" createdVersion="8" refreshedVersion="8" minRefreshableVersion="3" recordCount="0" supportSubquery="1" supportAdvancedDrill="1" xr:uid="{8B5D9DEB-075B-4BA1-991A-12861A033847}">
  <cacheSource type="external" connectionId="2"/>
  <cacheFields count="4">
    <cacheField name="[Range 1].[Department].[Department]" caption="Department" numFmtId="0" hierarchy="10" level="1">
      <sharedItems count="6">
        <s v="Finance"/>
        <s v="HR"/>
        <s v="IT"/>
        <s v="Marketing"/>
        <s v="Sales"/>
        <s v="Unknown"/>
      </sharedItems>
    </cacheField>
    <cacheField name="[Measures].[Sum of Salary 3]" caption="Sum of Salary 3" numFmtId="0" hierarchy="45" level="32767"/>
    <cacheField name="[Measures].[Count of Name]" caption="Count of Name" numFmtId="0" hierarchy="46" level="32767"/>
    <cacheField name="[Range 2].[Name].[Name]" caption="Name" numFmtId="0" hierarchy="17" level="1">
      <sharedItems containsSemiMixedTypes="0" containsNonDate="0" containsString="0"/>
    </cacheField>
  </cacheFields>
  <cacheHierarchies count="52">
    <cacheHierarchy uniqueName="[Range].[Employee ID]" caption="Employee ID" attribute="1" defaultMemberUniqueName="[Range].[Employee ID].[All]" allUniqueName="[Range].[Employee ID].[All]" dimensionUniqueName="[Range]" displayFolder="" count="0" memberValueDatatype="130" unbalanced="0"/>
    <cacheHierarchy uniqueName="[Range].[Name]" caption="Name" attribute="1" defaultMemberUniqueName="[Range].[Name].[All]" allUniqueName="[Range].[Name].[All]" dimensionUniqueName="[Range]" displayFolder="" count="0" memberValueDatatype="130" unbalanced="0"/>
    <cacheHierarchy uniqueName="[Range].[Department]" caption="Department" attribute="1" defaultMemberUniqueName="[Range].[Department].[All]" allUniqueName="[Range].[Department].[All]" dimensionUniqueName="[Range]" displayFolder="" count="2" memberValueDatatype="130" unbalanced="0"/>
    <cacheHierarchy uniqueName="[Range].[Country]" caption="Country" attribute="1" defaultMemberUniqueName="[Range].[Country].[All]" allUniqueName="[Range].[Country].[All]" dimensionUniqueName="[Range]" displayFolder="" count="0" memberValueDatatype="130" unbalanced="0"/>
    <cacheHierarchy uniqueName="[Range].[Salary]" caption="Salary" attribute="1" defaultMemberUniqueName="[Range].[Salary].[All]" allUniqueName="[Range].[Salary].[All]" dimensionUniqueName="[Range]" displayFolder="" count="0" memberValueDatatype="5" unbalanced="0"/>
    <cacheHierarchy uniqueName="[Range].[Date of Joining]" caption="Date of Joining" attribute="1" defaultMemberUniqueName="[Range].[Date of Joining].[All]" allUniqueName="[Range].[Date of Joining].[All]" dimensionUniqueName="[Range]" displayFolder="" count="0" memberValueDatatype="130" unbalanced="0"/>
    <cacheHierarchy uniqueName="[Range].[Performance Rating]" caption="Performance Rating" attribute="1" defaultMemberUniqueName="[Range].[Performance Rating].[All]" allUniqueName="[Range].[Performance Rating].[All]" dimensionUniqueName="[Range]" displayFolder="" count="0" memberValueDatatype="5" unbalanced="0"/>
    <cacheHierarchy uniqueName="[Range].[Gender]" caption="Gender" attribute="1" defaultMemberUniqueName="[Range].[Gender].[All]" allUniqueName="[Range].[Gender].[All]" dimensionUniqueName="[Range]" displayFolder="" count="0" memberValueDatatype="130" unbalanced="0"/>
    <cacheHierarchy uniqueName="[Range 1].[Employee ID]" caption="Employee ID" attribute="1" defaultMemberUniqueName="[Range 1].[Employee ID].[All]" allUniqueName="[Range 1].[Employee ID].[All]" dimensionUniqueName="[Range 1]" displayFolder="" count="0" memberValueDatatype="130" unbalanced="0"/>
    <cacheHierarchy uniqueName="[Range 1].[Name]" caption="Name" attribute="1" defaultMemberUniqueName="[Range 1].[Name].[All]" allUniqueName="[Range 1].[Name].[All]" dimensionUniqueName="[Range 1]" displayFolder="" count="0" memberValueDatatype="130" unbalanced="0"/>
    <cacheHierarchy uniqueName="[Range 1].[Department]" caption="Department" attribute="1" defaultMemberUniqueName="[Range 1].[Department].[All]" allUniqueName="[Range 1].[Department].[All]" dimensionUniqueName="[Range 1]" displayFolder="" count="2" memberValueDatatype="130" unbalanced="0">
      <fieldsUsage count="2">
        <fieldUsage x="-1"/>
        <fieldUsage x="0"/>
      </fieldsUsage>
    </cacheHierarchy>
    <cacheHierarchy uniqueName="[Range 1].[Country]" caption="Country" attribute="1" defaultMemberUniqueName="[Range 1].[Country].[All]" allUniqueName="[Range 1].[Country].[All]" dimensionUniqueName="[Range 1]" displayFolder="" count="0" memberValueDatatype="130" unbalanced="0"/>
    <cacheHierarchy uniqueName="[Range 1].[Salary]" caption="Salary" attribute="1" defaultMemberUniqueName="[Range 1].[Salary].[All]" allUniqueName="[Range 1].[Salary].[All]" dimensionUniqueName="[Range 1]" displayFolder="" count="0" memberValueDatatype="5" unbalanced="0"/>
    <cacheHierarchy uniqueName="[Range 1].[Date of Joining]" caption="Date of Joining" attribute="1" defaultMemberUniqueName="[Range 1].[Date of Joining].[All]" allUniqueName="[Range 1].[Date of Joining].[All]" dimensionUniqueName="[Range 1]" displayFolder="" count="0" memberValueDatatype="130" unbalanced="0"/>
    <cacheHierarchy uniqueName="[Range 1].[Performance Rating]" caption="Performance Rating" attribute="1" defaultMemberUniqueName="[Range 1].[Performance Rating].[All]" allUniqueName="[Range 1].[Performance Rating].[All]" dimensionUniqueName="[Range 1]" displayFolder="" count="0" memberValueDatatype="5" unbalanced="0"/>
    <cacheHierarchy uniqueName="[Range 1].[Gender]" caption="Gender" attribute="1" defaultMemberUniqueName="[Range 1].[Gender].[All]" allUniqueName="[Range 1].[Gender].[All]" dimensionUniqueName="[Range 1]" displayFolder="" count="0" memberValueDatatype="130" unbalanced="0"/>
    <cacheHierarchy uniqueName="[Range 2].[Employee ID]" caption="Employee ID" attribute="1" defaultMemberUniqueName="[Range 2].[Employee ID].[All]" allUniqueName="[Range 2].[Employee ID].[All]" dimensionUniqueName="[Range 2]" displayFolder="" count="0" memberValueDatatype="130" unbalanced="0"/>
    <cacheHierarchy uniqueName="[Range 2].[Name]" caption="Name" attribute="1" defaultMemberUniqueName="[Range 2].[Name].[All]" allUniqueName="[Range 2].[Name].[All]" dimensionUniqueName="[Range 2]" displayFolder="" count="2" memberValueDatatype="130" unbalanced="0">
      <fieldsUsage count="2">
        <fieldUsage x="-1"/>
        <fieldUsage x="3"/>
      </fieldsUsage>
    </cacheHierarchy>
    <cacheHierarchy uniqueName="[Range 2].[Department]" caption="Department" attribute="1" defaultMemberUniqueName="[Range 2].[Department].[All]" allUniqueName="[Range 2].[Department].[All]" dimensionUniqueName="[Range 2]" displayFolder="" count="0" memberValueDatatype="130" unbalanced="0"/>
    <cacheHierarchy uniqueName="[Range 2].[Country]" caption="Country" attribute="1" defaultMemberUniqueName="[Range 2].[Country].[All]" allUniqueName="[Range 2].[Country].[All]" dimensionUniqueName="[Range 2]" displayFolder="" count="0" memberValueDatatype="130" unbalanced="0"/>
    <cacheHierarchy uniqueName="[Range 2].[Salary]" caption="Salary" attribute="1" defaultMemberUniqueName="[Range 2].[Salary].[All]" allUniqueName="[Range 2].[Salary].[All]" dimensionUniqueName="[Range 2]" displayFolder="" count="0" memberValueDatatype="5" unbalanced="0"/>
    <cacheHierarchy uniqueName="[Range 2].[Date of Joining]" caption="Date of Joining" attribute="1" defaultMemberUniqueName="[Range 2].[Date of Joining].[All]" allUniqueName="[Range 2].[Date of Joining].[All]" dimensionUniqueName="[Range 2]" displayFolder="" count="0" memberValueDatatype="130" unbalanced="0"/>
    <cacheHierarchy uniqueName="[Range 2].[Performance Rating]" caption="Performance Rating" attribute="1" defaultMemberUniqueName="[Range 2].[Performance Rating].[All]" allUniqueName="[Range 2].[Performance Rating].[All]" dimensionUniqueName="[Range 2]" displayFolder="" count="0" memberValueDatatype="5" unbalanced="0"/>
    <cacheHierarchy uniqueName="[Range 2].[Gender]" caption="Gender" attribute="1" defaultMemberUniqueName="[Range 2].[Gender].[All]" allUniqueName="[Range 2].[Gender].[All]" dimensionUniqueName="[Range 2]" displayFolder="" count="0" memberValueDatatype="130" unbalanced="0"/>
    <cacheHierarchy uniqueName="[Table117  Employee ID   Gender].[Employee ID]" caption="Employee ID" attribute="1" defaultMemberUniqueName="[Table117  Employee ID   Gender].[Employee ID].[All]" allUniqueName="[Table117  Employee ID   Gender].[Employee ID].[All]" dimensionUniqueName="[Table117  Employee ID   Gender]" displayFolder="" count="0" memberValueDatatype="130" unbalanced="0"/>
    <cacheHierarchy uniqueName="[Table117  Employee ID   Gender].[Name]" caption="Name" attribute="1" defaultMemberUniqueName="[Table117  Employee ID   Gender].[Name].[All]" allUniqueName="[Table117  Employee ID   Gender].[Name].[All]" dimensionUniqueName="[Table117  Employee ID   Gender]" displayFolder="" count="0" memberValueDatatype="130" unbalanced="0"/>
    <cacheHierarchy uniqueName="[Table117  Employee ID   Gender].[Department]" caption="Department" attribute="1" defaultMemberUniqueName="[Table117  Employee ID   Gender].[Department].[All]" allUniqueName="[Table117  Employee ID   Gender].[Department].[All]" dimensionUniqueName="[Table117  Employee ID   Gender]" displayFolder="" count="0" memberValueDatatype="130" unbalanced="0"/>
    <cacheHierarchy uniqueName="[Table117  Employee ID   Gender].[Country]" caption="Country" attribute="1" defaultMemberUniqueName="[Table117  Employee ID   Gender].[Country].[All]" allUniqueName="[Table117  Employee ID   Gender].[Country].[All]" dimensionUniqueName="[Table117  Employee ID   Gender]" displayFolder="" count="0" memberValueDatatype="130" unbalanced="0"/>
    <cacheHierarchy uniqueName="[Table117  Employee ID   Gender].[Salary]" caption="Salary" attribute="1" defaultMemberUniqueName="[Table117  Employee ID   Gender].[Salary].[All]" allUniqueName="[Table117  Employee ID   Gender].[Salary].[All]" dimensionUniqueName="[Table117  Employee ID   Gender]" displayFolder="" count="0" memberValueDatatype="5" unbalanced="0"/>
    <cacheHierarchy uniqueName="[Table117  Employee ID   Gender].[Date of Joining]" caption="Date of Joining" attribute="1" defaultMemberUniqueName="[Table117  Employee ID   Gender].[Date of Joining].[All]" allUniqueName="[Table117  Employee ID   Gender].[Date of Joining].[All]" dimensionUniqueName="[Table117  Employee ID   Gender]" displayFolder="" count="0" memberValueDatatype="130" unbalanced="0"/>
    <cacheHierarchy uniqueName="[Table117  Employee ID   Gender].[Joined Month]" caption="Joined Month" attribute="1" defaultMemberUniqueName="[Table117  Employee ID   Gender].[Joined Month].[All]" allUniqueName="[Table117  Employee ID   Gender].[Joined Month].[All]" dimensionUniqueName="[Table117  Employee ID   Gender]" displayFolder="" count="0" memberValueDatatype="130" unbalanced="0"/>
    <cacheHierarchy uniqueName="[Table117  Employee ID   Gender].[Performance Rating]" caption="Performance Rating" attribute="1" defaultMemberUniqueName="[Table117  Employee ID   Gender].[Performance Rating].[All]" allUniqueName="[Table117  Employee ID   Gender].[Performance Rating].[All]" dimensionUniqueName="[Table117  Employee ID   Gender]" displayFolder="" count="0" memberValueDatatype="5" unbalanced="0"/>
    <cacheHierarchy uniqueName="[Table117  Employee ID   Gender].[Gender]" caption="Gender" attribute="1" defaultMemberUniqueName="[Table117  Employee ID   Gender].[Gender].[All]" allUniqueName="[Table117  Employee ID   Gender].[Gender].[All]" dimensionUniqueName="[Table117  Employee ID   Gender]" displayFolder="" count="0" memberValueDatatype="130" unbalanced="0"/>
    <cacheHierarchy uniqueName="[Measures].[__XL_Count Range]" caption="__XL_Count Range" measure="1" displayFolder="" measureGroup="Range" count="0" hidden="1"/>
    <cacheHierarchy uniqueName="[Measures].[__XL_Count Table117  Employee ID   Gender]" caption="__XL_Count Table117  Employee ID   Gender" measure="1" displayFolder="" measureGroup="Table117  Employee ID   Gender"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No measures defined]" caption="__No measures defined" measure="1" displayFolder="" count="0" hidden="1"/>
    <cacheHierarchy uniqueName="[Measures].[Sum of Performance Rating]" caption="Sum of Performance Rating" measure="1" displayFolder="" measureGroup="Range" count="0" hidden="1">
      <extLst>
        <ext xmlns:x15="http://schemas.microsoft.com/office/spreadsheetml/2010/11/main" uri="{B97F6D7D-B522-45F9-BDA1-12C45D357490}">
          <x15:cacheHierarchy aggregatedColumn="6"/>
        </ext>
      </extLst>
    </cacheHierarchy>
    <cacheHierarchy uniqueName="[Measures].[Max of Performance Rating]" caption="Max of Performance Rating" measure="1" displayFolder="" measureGroup="Range" count="0" hidden="1">
      <extLst>
        <ext xmlns:x15="http://schemas.microsoft.com/office/spreadsheetml/2010/11/main" uri="{B97F6D7D-B522-45F9-BDA1-12C45D357490}">
          <x15:cacheHierarchy aggregatedColumn="6"/>
        </ext>
      </extLst>
    </cacheHierarchy>
    <cacheHierarchy uniqueName="[Measures].[Sum of Salary]" caption="Sum of Salary" measure="1" displayFolder="" measureGroup="Range" count="0" hidden="1">
      <extLst>
        <ext xmlns:x15="http://schemas.microsoft.com/office/spreadsheetml/2010/11/main" uri="{B97F6D7D-B522-45F9-BDA1-12C45D357490}">
          <x15:cacheHierarchy aggregatedColumn="4"/>
        </ext>
      </extLst>
    </cacheHierarchy>
    <cacheHierarchy uniqueName="[Measures].[Average of Salary]" caption="Average of Salary" measure="1" displayFolder="" measureGroup="Range" count="0" hidden="1">
      <extLst>
        <ext xmlns:x15="http://schemas.microsoft.com/office/spreadsheetml/2010/11/main" uri="{B97F6D7D-B522-45F9-BDA1-12C45D357490}">
          <x15:cacheHierarchy aggregatedColumn="4"/>
        </ext>
      </extLst>
    </cacheHierarchy>
    <cacheHierarchy uniqueName="[Measures].[Count of Joined Month]" caption="Count of Joined Month" measure="1" displayFolder="" measureGroup="Table117  Employee ID   Gender" count="0" hidden="1">
      <extLst>
        <ext xmlns:x15="http://schemas.microsoft.com/office/spreadsheetml/2010/11/main" uri="{B97F6D7D-B522-45F9-BDA1-12C45D357490}">
          <x15:cacheHierarchy aggregatedColumn="30"/>
        </ext>
      </extLst>
    </cacheHierarchy>
    <cacheHierarchy uniqueName="[Measures].[Sum of Salary 2]" caption="Sum of Salary 2" measure="1" displayFolder="" measureGroup="Table117  Employee ID   Gender" count="0" hidden="1">
      <extLst>
        <ext xmlns:x15="http://schemas.microsoft.com/office/spreadsheetml/2010/11/main" uri="{B97F6D7D-B522-45F9-BDA1-12C45D357490}">
          <x15:cacheHierarchy aggregatedColumn="28"/>
        </ext>
      </extLst>
    </cacheHierarchy>
    <cacheHierarchy uniqueName="[Measures].[Min of Salary]" caption="Min of Salary" measure="1" displayFolder="" measureGroup="Table117  Employee ID   Gender" count="0" hidden="1">
      <extLst>
        <ext xmlns:x15="http://schemas.microsoft.com/office/spreadsheetml/2010/11/main" uri="{B97F6D7D-B522-45F9-BDA1-12C45D357490}">
          <x15:cacheHierarchy aggregatedColumn="28"/>
        </ext>
      </extLst>
    </cacheHierarchy>
    <cacheHierarchy uniqueName="[Measures].[Sum of Salary 3]" caption="Sum of Salary 3" measure="1" displayFolder="" measureGroup="Range 1" count="0" oneField="1" hidden="1">
      <fieldsUsage count="1">
        <fieldUsage x="1"/>
      </fieldsUsage>
      <extLst>
        <ext xmlns:x15="http://schemas.microsoft.com/office/spreadsheetml/2010/11/main" uri="{B97F6D7D-B522-45F9-BDA1-12C45D357490}">
          <x15:cacheHierarchy aggregatedColumn="12"/>
        </ext>
      </extLst>
    </cacheHierarchy>
    <cacheHierarchy uniqueName="[Measures].[Count of Name]" caption="Count of Name" measure="1" displayFolder="" measureGroup="Range 1"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Employee ID]" caption="Count of Employee ID" measure="1" displayFolder="" measureGroup="Range 2" count="0" hidden="1">
      <extLst>
        <ext xmlns:x15="http://schemas.microsoft.com/office/spreadsheetml/2010/11/main" uri="{B97F6D7D-B522-45F9-BDA1-12C45D357490}">
          <x15:cacheHierarchy aggregatedColumn="16"/>
        </ext>
      </extLst>
    </cacheHierarchy>
    <cacheHierarchy uniqueName="[Measures].[Sum of Salary 4]" caption="Sum of Salary 4" measure="1" displayFolder="" measureGroup="Range 2" count="0" hidden="1">
      <extLst>
        <ext xmlns:x15="http://schemas.microsoft.com/office/spreadsheetml/2010/11/main" uri="{B97F6D7D-B522-45F9-BDA1-12C45D357490}">
          <x15:cacheHierarchy aggregatedColumn="20"/>
        </ext>
      </extLst>
    </cacheHierarchy>
    <cacheHierarchy uniqueName="[Measures].[Average of Salary 2]" caption="Average of Salary 2" measure="1" displayFolder="" measureGroup="Range 2" count="0" hidden="1">
      <extLst>
        <ext xmlns:x15="http://schemas.microsoft.com/office/spreadsheetml/2010/11/main" uri="{B97F6D7D-B522-45F9-BDA1-12C45D357490}">
          <x15:cacheHierarchy aggregatedColumn="20"/>
        </ext>
      </extLst>
    </cacheHierarchy>
    <cacheHierarchy uniqueName="[Measures].[Count of Employee ID 2]" caption="Count of Employee ID 2" measure="1" displayFolder="" measureGroup="Range" count="0" hidden="1">
      <extLst>
        <ext xmlns:x15="http://schemas.microsoft.com/office/spreadsheetml/2010/11/main" uri="{B97F6D7D-B522-45F9-BDA1-12C45D357490}">
          <x15:cacheHierarchy aggregatedColumn="0"/>
        </ext>
      </extLst>
    </cacheHierarchy>
    <cacheHierarchy uniqueName="[Measures].[Count of Department]" caption="Count of Department" measure="1" displayFolder="" measureGroup="Range" count="0" hidden="1">
      <extLst>
        <ext xmlns:x15="http://schemas.microsoft.com/office/spreadsheetml/2010/11/main" uri="{B97F6D7D-B522-45F9-BDA1-12C45D357490}">
          <x15:cacheHierarchy aggregatedColumn="2"/>
        </ext>
      </extLst>
    </cacheHierarchy>
  </cacheHierarchies>
  <kpis count="0"/>
  <dimensions count="5">
    <dimension measure="1" name="Measures" uniqueName="[Measures]" caption="Measures"/>
    <dimension name="Range" uniqueName="[Range]" caption="Range"/>
    <dimension name="Range 1" uniqueName="[Range 1]" caption="Range 1"/>
    <dimension name="Range 2" uniqueName="[Range 2]" caption="Range 2"/>
    <dimension name="Table117  Employee ID   Gender" uniqueName="[Table117  Employee ID   Gender]" caption="Table117  Employee ID   Gender"/>
  </dimensions>
  <measureGroups count="4">
    <measureGroup name="Range" caption="Range"/>
    <measureGroup name="Range 1" caption="Range 1"/>
    <measureGroup name="Range 2" caption="Range 2"/>
    <measureGroup name="Table117  Employee ID   Gender" caption="Table117  Employee ID   Gender"/>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ishna" refreshedDate="45978.252411111112" backgroundQuery="1" createdVersion="8" refreshedVersion="8" minRefreshableVersion="3" recordCount="0" supportSubquery="1" supportAdvancedDrill="1" xr:uid="{D02840D9-847A-41CA-81C7-194A6CA52528}">
  <cacheSource type="external" connectionId="2"/>
  <cacheFields count="4">
    <cacheField name="[Range].[Name].[Name]" caption="Name" numFmtId="0" hierarchy="1" level="1">
      <sharedItems count="8">
        <s v="Alice Brown"/>
        <s v="Bob Johnson"/>
        <s v="Chris Lee"/>
        <s v="Eve Adams"/>
        <s v="Jane Smith"/>
        <s v="John Doe"/>
        <s v="Sam Wilson"/>
        <s v="Unknown"/>
      </sharedItems>
    </cacheField>
    <cacheField name="[Measures].[Max of Performance Rating]" caption="Max of Performance Rating" numFmtId="0" hierarchy="39" level="32767"/>
    <cacheField name="[Measures].[Average of Salary]" caption="Average of Salary" numFmtId="0" hierarchy="41" level="32767"/>
    <cacheField name="[Range 2].[Name].[Name]" caption="Name" numFmtId="0" hierarchy="17" level="1">
      <sharedItems containsSemiMixedTypes="0" containsNonDate="0" containsString="0"/>
    </cacheField>
  </cacheFields>
  <cacheHierarchies count="52">
    <cacheHierarchy uniqueName="[Range].[Employee ID]" caption="Employee ID" attribute="1" defaultMemberUniqueName="[Range].[Employee ID].[All]" allUniqueName="[Range].[Employee ID].[All]" dimensionUniqueName="[Range]" displayFolder="" count="0" memberValueDatatype="130" unbalanced="0"/>
    <cacheHierarchy uniqueName="[Range].[Name]" caption="Name" attribute="1" defaultMemberUniqueName="[Range].[Name].[All]" allUniqueName="[Range].[Name].[All]" dimensionUniqueName="[Range]" displayFolder="" count="2" memberValueDatatype="130" unbalanced="0">
      <fieldsUsage count="2">
        <fieldUsage x="-1"/>
        <fieldUsage x="0"/>
      </fieldsUsage>
    </cacheHierarchy>
    <cacheHierarchy uniqueName="[Range].[Department]" caption="Department" attribute="1" defaultMemberUniqueName="[Range].[Department].[All]" allUniqueName="[Range].[Department].[All]" dimensionUniqueName="[Range]" displayFolder="" count="2" memberValueDatatype="130" unbalanced="0"/>
    <cacheHierarchy uniqueName="[Range].[Country]" caption="Country" attribute="1" defaultMemberUniqueName="[Range].[Country].[All]" allUniqueName="[Range].[Country].[All]" dimensionUniqueName="[Range]" displayFolder="" count="0" memberValueDatatype="130" unbalanced="0"/>
    <cacheHierarchy uniqueName="[Range].[Salary]" caption="Salary" attribute="1" defaultMemberUniqueName="[Range].[Salary].[All]" allUniqueName="[Range].[Salary].[All]" dimensionUniqueName="[Range]" displayFolder="" count="0" memberValueDatatype="5" unbalanced="0"/>
    <cacheHierarchy uniqueName="[Range].[Date of Joining]" caption="Date of Joining" attribute="1" defaultMemberUniqueName="[Range].[Date of Joining].[All]" allUniqueName="[Range].[Date of Joining].[All]" dimensionUniqueName="[Range]" displayFolder="" count="0" memberValueDatatype="130" unbalanced="0"/>
    <cacheHierarchy uniqueName="[Range].[Performance Rating]" caption="Performance Rating" attribute="1" defaultMemberUniqueName="[Range].[Performance Rating].[All]" allUniqueName="[Range].[Performance Rating].[All]" dimensionUniqueName="[Range]" displayFolder="" count="0" memberValueDatatype="5" unbalanced="0"/>
    <cacheHierarchy uniqueName="[Range].[Gender]" caption="Gender" attribute="1" defaultMemberUniqueName="[Range].[Gender].[All]" allUniqueName="[Range].[Gender].[All]" dimensionUniqueName="[Range]" displayFolder="" count="0" memberValueDatatype="130" unbalanced="0"/>
    <cacheHierarchy uniqueName="[Range 1].[Employee ID]" caption="Employee ID" attribute="1" defaultMemberUniqueName="[Range 1].[Employee ID].[All]" allUniqueName="[Range 1].[Employee ID].[All]" dimensionUniqueName="[Range 1]" displayFolder="" count="0" memberValueDatatype="130" unbalanced="0"/>
    <cacheHierarchy uniqueName="[Range 1].[Name]" caption="Name" attribute="1" defaultMemberUniqueName="[Range 1].[Name].[All]" allUniqueName="[Range 1].[Name].[All]" dimensionUniqueName="[Range 1]" displayFolder="" count="0" memberValueDatatype="130" unbalanced="0"/>
    <cacheHierarchy uniqueName="[Range 1].[Department]" caption="Department" attribute="1" defaultMemberUniqueName="[Range 1].[Department].[All]" allUniqueName="[Range 1].[Department].[All]" dimensionUniqueName="[Range 1]" displayFolder="" count="0" memberValueDatatype="130" unbalanced="0"/>
    <cacheHierarchy uniqueName="[Range 1].[Country]" caption="Country" attribute="1" defaultMemberUniqueName="[Range 1].[Country].[All]" allUniqueName="[Range 1].[Country].[All]" dimensionUniqueName="[Range 1]" displayFolder="" count="0" memberValueDatatype="130" unbalanced="0"/>
    <cacheHierarchy uniqueName="[Range 1].[Salary]" caption="Salary" attribute="1" defaultMemberUniqueName="[Range 1].[Salary].[All]" allUniqueName="[Range 1].[Salary].[All]" dimensionUniqueName="[Range 1]" displayFolder="" count="0" memberValueDatatype="5" unbalanced="0"/>
    <cacheHierarchy uniqueName="[Range 1].[Date of Joining]" caption="Date of Joining" attribute="1" defaultMemberUniqueName="[Range 1].[Date of Joining].[All]" allUniqueName="[Range 1].[Date of Joining].[All]" dimensionUniqueName="[Range 1]" displayFolder="" count="0" memberValueDatatype="130" unbalanced="0"/>
    <cacheHierarchy uniqueName="[Range 1].[Performance Rating]" caption="Performance Rating" attribute="1" defaultMemberUniqueName="[Range 1].[Performance Rating].[All]" allUniqueName="[Range 1].[Performance Rating].[All]" dimensionUniqueName="[Range 1]" displayFolder="" count="0" memberValueDatatype="5" unbalanced="0"/>
    <cacheHierarchy uniqueName="[Range 1].[Gender]" caption="Gender" attribute="1" defaultMemberUniqueName="[Range 1].[Gender].[All]" allUniqueName="[Range 1].[Gender].[All]" dimensionUniqueName="[Range 1]" displayFolder="" count="0" memberValueDatatype="130" unbalanced="0"/>
    <cacheHierarchy uniqueName="[Range 2].[Employee ID]" caption="Employee ID" attribute="1" defaultMemberUniqueName="[Range 2].[Employee ID].[All]" allUniqueName="[Range 2].[Employee ID].[All]" dimensionUniqueName="[Range 2]" displayFolder="" count="0" memberValueDatatype="130" unbalanced="0"/>
    <cacheHierarchy uniqueName="[Range 2].[Name]" caption="Name" attribute="1" defaultMemberUniqueName="[Range 2].[Name].[All]" allUniqueName="[Range 2].[Name].[All]" dimensionUniqueName="[Range 2]" displayFolder="" count="2" memberValueDatatype="130" unbalanced="0">
      <fieldsUsage count="2">
        <fieldUsage x="-1"/>
        <fieldUsage x="3"/>
      </fieldsUsage>
    </cacheHierarchy>
    <cacheHierarchy uniqueName="[Range 2].[Department]" caption="Department" attribute="1" defaultMemberUniqueName="[Range 2].[Department].[All]" allUniqueName="[Range 2].[Department].[All]" dimensionUniqueName="[Range 2]" displayFolder="" count="0" memberValueDatatype="130" unbalanced="0"/>
    <cacheHierarchy uniqueName="[Range 2].[Country]" caption="Country" attribute="1" defaultMemberUniqueName="[Range 2].[Country].[All]" allUniqueName="[Range 2].[Country].[All]" dimensionUniqueName="[Range 2]" displayFolder="" count="0" memberValueDatatype="130" unbalanced="0"/>
    <cacheHierarchy uniqueName="[Range 2].[Salary]" caption="Salary" attribute="1" defaultMemberUniqueName="[Range 2].[Salary].[All]" allUniqueName="[Range 2].[Salary].[All]" dimensionUniqueName="[Range 2]" displayFolder="" count="0" memberValueDatatype="5" unbalanced="0"/>
    <cacheHierarchy uniqueName="[Range 2].[Date of Joining]" caption="Date of Joining" attribute="1" defaultMemberUniqueName="[Range 2].[Date of Joining].[All]" allUniqueName="[Range 2].[Date of Joining].[All]" dimensionUniqueName="[Range 2]" displayFolder="" count="0" memberValueDatatype="130" unbalanced="0"/>
    <cacheHierarchy uniqueName="[Range 2].[Performance Rating]" caption="Performance Rating" attribute="1" defaultMemberUniqueName="[Range 2].[Performance Rating].[All]" allUniqueName="[Range 2].[Performance Rating].[All]" dimensionUniqueName="[Range 2]" displayFolder="" count="0" memberValueDatatype="5" unbalanced="0"/>
    <cacheHierarchy uniqueName="[Range 2].[Gender]" caption="Gender" attribute="1" defaultMemberUniqueName="[Range 2].[Gender].[All]" allUniqueName="[Range 2].[Gender].[All]" dimensionUniqueName="[Range 2]" displayFolder="" count="0" memberValueDatatype="130" unbalanced="0"/>
    <cacheHierarchy uniqueName="[Table117  Employee ID   Gender].[Employee ID]" caption="Employee ID" attribute="1" defaultMemberUniqueName="[Table117  Employee ID   Gender].[Employee ID].[All]" allUniqueName="[Table117  Employee ID   Gender].[Employee ID].[All]" dimensionUniqueName="[Table117  Employee ID   Gender]" displayFolder="" count="0" memberValueDatatype="130" unbalanced="0"/>
    <cacheHierarchy uniqueName="[Table117  Employee ID   Gender].[Name]" caption="Name" attribute="1" defaultMemberUniqueName="[Table117  Employee ID   Gender].[Name].[All]" allUniqueName="[Table117  Employee ID   Gender].[Name].[All]" dimensionUniqueName="[Table117  Employee ID   Gender]" displayFolder="" count="0" memberValueDatatype="130" unbalanced="0"/>
    <cacheHierarchy uniqueName="[Table117  Employee ID   Gender].[Department]" caption="Department" attribute="1" defaultMemberUniqueName="[Table117  Employee ID   Gender].[Department].[All]" allUniqueName="[Table117  Employee ID   Gender].[Department].[All]" dimensionUniqueName="[Table117  Employee ID   Gender]" displayFolder="" count="0" memberValueDatatype="130" unbalanced="0"/>
    <cacheHierarchy uniqueName="[Table117  Employee ID   Gender].[Country]" caption="Country" attribute="1" defaultMemberUniqueName="[Table117  Employee ID   Gender].[Country].[All]" allUniqueName="[Table117  Employee ID   Gender].[Country].[All]" dimensionUniqueName="[Table117  Employee ID   Gender]" displayFolder="" count="0" memberValueDatatype="130" unbalanced="0"/>
    <cacheHierarchy uniqueName="[Table117  Employee ID   Gender].[Salary]" caption="Salary" attribute="1" defaultMemberUniqueName="[Table117  Employee ID   Gender].[Salary].[All]" allUniqueName="[Table117  Employee ID   Gender].[Salary].[All]" dimensionUniqueName="[Table117  Employee ID   Gender]" displayFolder="" count="0" memberValueDatatype="5" unbalanced="0"/>
    <cacheHierarchy uniqueName="[Table117  Employee ID   Gender].[Date of Joining]" caption="Date of Joining" attribute="1" defaultMemberUniqueName="[Table117  Employee ID   Gender].[Date of Joining].[All]" allUniqueName="[Table117  Employee ID   Gender].[Date of Joining].[All]" dimensionUniqueName="[Table117  Employee ID   Gender]" displayFolder="" count="0" memberValueDatatype="130" unbalanced="0"/>
    <cacheHierarchy uniqueName="[Table117  Employee ID   Gender].[Joined Month]" caption="Joined Month" attribute="1" defaultMemberUniqueName="[Table117  Employee ID   Gender].[Joined Month].[All]" allUniqueName="[Table117  Employee ID   Gender].[Joined Month].[All]" dimensionUniqueName="[Table117  Employee ID   Gender]" displayFolder="" count="0" memberValueDatatype="130" unbalanced="0"/>
    <cacheHierarchy uniqueName="[Table117  Employee ID   Gender].[Performance Rating]" caption="Performance Rating" attribute="1" defaultMemberUniqueName="[Table117  Employee ID   Gender].[Performance Rating].[All]" allUniqueName="[Table117  Employee ID   Gender].[Performance Rating].[All]" dimensionUniqueName="[Table117  Employee ID   Gender]" displayFolder="" count="0" memberValueDatatype="5" unbalanced="0"/>
    <cacheHierarchy uniqueName="[Table117  Employee ID   Gender].[Gender]" caption="Gender" attribute="1" defaultMemberUniqueName="[Table117  Employee ID   Gender].[Gender].[All]" allUniqueName="[Table117  Employee ID   Gender].[Gender].[All]" dimensionUniqueName="[Table117  Employee ID   Gender]" displayFolder="" count="0" memberValueDatatype="130" unbalanced="0"/>
    <cacheHierarchy uniqueName="[Measures].[__XL_Count Range]" caption="__XL_Count Range" measure="1" displayFolder="" measureGroup="Range" count="0" hidden="1"/>
    <cacheHierarchy uniqueName="[Measures].[__XL_Count Table117  Employee ID   Gender]" caption="__XL_Count Table117  Employee ID   Gender" measure="1" displayFolder="" measureGroup="Table117  Employee ID   Gender"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No measures defined]" caption="__No measures defined" measure="1" displayFolder="" count="0" hidden="1"/>
    <cacheHierarchy uniqueName="[Measures].[Sum of Performance Rating]" caption="Sum of Performance Rating" measure="1" displayFolder="" measureGroup="Range" count="0" hidden="1">
      <extLst>
        <ext xmlns:x15="http://schemas.microsoft.com/office/spreadsheetml/2010/11/main" uri="{B97F6D7D-B522-45F9-BDA1-12C45D357490}">
          <x15:cacheHierarchy aggregatedColumn="6"/>
        </ext>
      </extLst>
    </cacheHierarchy>
    <cacheHierarchy uniqueName="[Measures].[Max of Performance Rating]" caption="Max of Performance Rating" measure="1" displayFolder="" measureGroup="Range" count="0" oneField="1" hidden="1">
      <fieldsUsage count="1">
        <fieldUsage x="1"/>
      </fieldsUsage>
      <extLst>
        <ext xmlns:x15="http://schemas.microsoft.com/office/spreadsheetml/2010/11/main" uri="{B97F6D7D-B522-45F9-BDA1-12C45D357490}">
          <x15:cacheHierarchy aggregatedColumn="6"/>
        </ext>
      </extLst>
    </cacheHierarchy>
    <cacheHierarchy uniqueName="[Measures].[Sum of Salary]" caption="Sum of Salary" measure="1" displayFolder="" measureGroup="Range" count="0" hidden="1">
      <extLst>
        <ext xmlns:x15="http://schemas.microsoft.com/office/spreadsheetml/2010/11/main" uri="{B97F6D7D-B522-45F9-BDA1-12C45D357490}">
          <x15:cacheHierarchy aggregatedColumn="4"/>
        </ext>
      </extLst>
    </cacheHierarchy>
    <cacheHierarchy uniqueName="[Measures].[Average of Salary]" caption="Average of Salary" measure="1" displayFolder="" measureGroup="Range" count="0" oneField="1" hidden="1">
      <fieldsUsage count="1">
        <fieldUsage x="2"/>
      </fieldsUsage>
      <extLst>
        <ext xmlns:x15="http://schemas.microsoft.com/office/spreadsheetml/2010/11/main" uri="{B97F6D7D-B522-45F9-BDA1-12C45D357490}">
          <x15:cacheHierarchy aggregatedColumn="4"/>
        </ext>
      </extLst>
    </cacheHierarchy>
    <cacheHierarchy uniqueName="[Measures].[Count of Joined Month]" caption="Count of Joined Month" measure="1" displayFolder="" measureGroup="Table117  Employee ID   Gender" count="0" hidden="1">
      <extLst>
        <ext xmlns:x15="http://schemas.microsoft.com/office/spreadsheetml/2010/11/main" uri="{B97F6D7D-B522-45F9-BDA1-12C45D357490}">
          <x15:cacheHierarchy aggregatedColumn="30"/>
        </ext>
      </extLst>
    </cacheHierarchy>
    <cacheHierarchy uniqueName="[Measures].[Sum of Salary 2]" caption="Sum of Salary 2" measure="1" displayFolder="" measureGroup="Table117  Employee ID   Gender" count="0" hidden="1">
      <extLst>
        <ext xmlns:x15="http://schemas.microsoft.com/office/spreadsheetml/2010/11/main" uri="{B97F6D7D-B522-45F9-BDA1-12C45D357490}">
          <x15:cacheHierarchy aggregatedColumn="28"/>
        </ext>
      </extLst>
    </cacheHierarchy>
    <cacheHierarchy uniqueName="[Measures].[Min of Salary]" caption="Min of Salary" measure="1" displayFolder="" measureGroup="Table117  Employee ID   Gender" count="0" hidden="1">
      <extLst>
        <ext xmlns:x15="http://schemas.microsoft.com/office/spreadsheetml/2010/11/main" uri="{B97F6D7D-B522-45F9-BDA1-12C45D357490}">
          <x15:cacheHierarchy aggregatedColumn="28"/>
        </ext>
      </extLst>
    </cacheHierarchy>
    <cacheHierarchy uniqueName="[Measures].[Sum of Salary 3]" caption="Sum of Salary 3" measure="1" displayFolder="" measureGroup="Range 1" count="0" hidden="1">
      <extLst>
        <ext xmlns:x15="http://schemas.microsoft.com/office/spreadsheetml/2010/11/main" uri="{B97F6D7D-B522-45F9-BDA1-12C45D357490}">
          <x15:cacheHierarchy aggregatedColumn="12"/>
        </ext>
      </extLst>
    </cacheHierarchy>
    <cacheHierarchy uniqueName="[Measures].[Count of Name]" caption="Count of Name" measure="1" displayFolder="" measureGroup="Range 1" count="0" hidden="1">
      <extLst>
        <ext xmlns:x15="http://schemas.microsoft.com/office/spreadsheetml/2010/11/main" uri="{B97F6D7D-B522-45F9-BDA1-12C45D357490}">
          <x15:cacheHierarchy aggregatedColumn="9"/>
        </ext>
      </extLst>
    </cacheHierarchy>
    <cacheHierarchy uniqueName="[Measures].[Count of Employee ID]" caption="Count of Employee ID" measure="1" displayFolder="" measureGroup="Range 2" count="0" hidden="1">
      <extLst>
        <ext xmlns:x15="http://schemas.microsoft.com/office/spreadsheetml/2010/11/main" uri="{B97F6D7D-B522-45F9-BDA1-12C45D357490}">
          <x15:cacheHierarchy aggregatedColumn="16"/>
        </ext>
      </extLst>
    </cacheHierarchy>
    <cacheHierarchy uniqueName="[Measures].[Sum of Salary 4]" caption="Sum of Salary 4" measure="1" displayFolder="" measureGroup="Range 2" count="0" hidden="1">
      <extLst>
        <ext xmlns:x15="http://schemas.microsoft.com/office/spreadsheetml/2010/11/main" uri="{B97F6D7D-B522-45F9-BDA1-12C45D357490}">
          <x15:cacheHierarchy aggregatedColumn="20"/>
        </ext>
      </extLst>
    </cacheHierarchy>
    <cacheHierarchy uniqueName="[Measures].[Average of Salary 2]" caption="Average of Salary 2" measure="1" displayFolder="" measureGroup="Range 2" count="0" hidden="1">
      <extLst>
        <ext xmlns:x15="http://schemas.microsoft.com/office/spreadsheetml/2010/11/main" uri="{B97F6D7D-B522-45F9-BDA1-12C45D357490}">
          <x15:cacheHierarchy aggregatedColumn="20"/>
        </ext>
      </extLst>
    </cacheHierarchy>
    <cacheHierarchy uniqueName="[Measures].[Count of Employee ID 2]" caption="Count of Employee ID 2" measure="1" displayFolder="" measureGroup="Range" count="0" hidden="1">
      <extLst>
        <ext xmlns:x15="http://schemas.microsoft.com/office/spreadsheetml/2010/11/main" uri="{B97F6D7D-B522-45F9-BDA1-12C45D357490}">
          <x15:cacheHierarchy aggregatedColumn="0"/>
        </ext>
      </extLst>
    </cacheHierarchy>
    <cacheHierarchy uniqueName="[Measures].[Count of Department]" caption="Count of Department" measure="1" displayFolder="" measureGroup="Range" count="0" hidden="1">
      <extLst>
        <ext xmlns:x15="http://schemas.microsoft.com/office/spreadsheetml/2010/11/main" uri="{B97F6D7D-B522-45F9-BDA1-12C45D357490}">
          <x15:cacheHierarchy aggregatedColumn="2"/>
        </ext>
      </extLst>
    </cacheHierarchy>
  </cacheHierarchies>
  <kpis count="0"/>
  <dimensions count="5">
    <dimension measure="1" name="Measures" uniqueName="[Measures]" caption="Measures"/>
    <dimension name="Range" uniqueName="[Range]" caption="Range"/>
    <dimension name="Range 1" uniqueName="[Range 1]" caption="Range 1"/>
    <dimension name="Range 2" uniqueName="[Range 2]" caption="Range 2"/>
    <dimension name="Table117  Employee ID   Gender" uniqueName="[Table117  Employee ID   Gender]" caption="Table117  Employee ID   Gender"/>
  </dimensions>
  <measureGroups count="4">
    <measureGroup name="Range" caption="Range"/>
    <measureGroup name="Range 1" caption="Range 1"/>
    <measureGroup name="Range 2" caption="Range 2"/>
    <measureGroup name="Table117  Employee ID   Gender" caption="Table117  Employee ID   Gender"/>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ishna" refreshedDate="45978.252413310183" backgroundQuery="1" createdVersion="8" refreshedVersion="8" minRefreshableVersion="3" recordCount="0" supportSubquery="1" supportAdvancedDrill="1" xr:uid="{A2DC3C23-32E0-466C-9ECC-CE7A464001E7}">
  <cacheSource type="external" connectionId="2"/>
  <cacheFields count="4">
    <cacheField name="[Range 1].[Department].[Department]" caption="Department" numFmtId="0" hierarchy="10" level="1">
      <sharedItems count="6">
        <s v="Finance"/>
        <s v="HR"/>
        <s v="IT"/>
        <s v="Marketing"/>
        <s v="Sales"/>
        <s v="Unknown"/>
      </sharedItems>
    </cacheField>
    <cacheField name="[Measures].[Sum of Salary 3]" caption="Sum of Salary 3" numFmtId="0" hierarchy="45" level="32767"/>
    <cacheField name="[Measures].[Count of Name]" caption="Count of Name" numFmtId="0" hierarchy="46" level="32767"/>
    <cacheField name="[Range 2].[Name].[Name]" caption="Name" numFmtId="0" hierarchy="17" level="1">
      <sharedItems containsSemiMixedTypes="0" containsNonDate="0" containsString="0"/>
    </cacheField>
  </cacheFields>
  <cacheHierarchies count="52">
    <cacheHierarchy uniqueName="[Range].[Employee ID]" caption="Employee ID" attribute="1" defaultMemberUniqueName="[Range].[Employee ID].[All]" allUniqueName="[Range].[Employee ID].[All]" dimensionUniqueName="[Range]" displayFolder="" count="0" memberValueDatatype="130" unbalanced="0"/>
    <cacheHierarchy uniqueName="[Range].[Name]" caption="Name" attribute="1" defaultMemberUniqueName="[Range].[Name].[All]" allUniqueName="[Range].[Name].[All]" dimensionUniqueName="[Range]" displayFolder="" count="0" memberValueDatatype="130" unbalanced="0"/>
    <cacheHierarchy uniqueName="[Range].[Department]" caption="Department" attribute="1" defaultMemberUniqueName="[Range].[Department].[All]" allUniqueName="[Range].[Department].[All]" dimensionUniqueName="[Range]" displayFolder="" count="0" memberValueDatatype="130" unbalanced="0"/>
    <cacheHierarchy uniqueName="[Range].[Country]" caption="Country" attribute="1" defaultMemberUniqueName="[Range].[Country].[All]" allUniqueName="[Range].[Country].[All]" dimensionUniqueName="[Range]" displayFolder="" count="0" memberValueDatatype="130" unbalanced="0"/>
    <cacheHierarchy uniqueName="[Range].[Salary]" caption="Salary" attribute="1" defaultMemberUniqueName="[Range].[Salary].[All]" allUniqueName="[Range].[Salary].[All]" dimensionUniqueName="[Range]" displayFolder="" count="0" memberValueDatatype="5" unbalanced="0"/>
    <cacheHierarchy uniqueName="[Range].[Date of Joining]" caption="Date of Joining" attribute="1" defaultMemberUniqueName="[Range].[Date of Joining].[All]" allUniqueName="[Range].[Date of Joining].[All]" dimensionUniqueName="[Range]" displayFolder="" count="0" memberValueDatatype="130" unbalanced="0"/>
    <cacheHierarchy uniqueName="[Range].[Performance Rating]" caption="Performance Rating" attribute="1" defaultMemberUniqueName="[Range].[Performance Rating].[All]" allUniqueName="[Range].[Performance Rating].[All]" dimensionUniqueName="[Range]" displayFolder="" count="0" memberValueDatatype="5" unbalanced="0"/>
    <cacheHierarchy uniqueName="[Range].[Gender]" caption="Gender" attribute="1" defaultMemberUniqueName="[Range].[Gender].[All]" allUniqueName="[Range].[Gender].[All]" dimensionUniqueName="[Range]" displayFolder="" count="0" memberValueDatatype="130" unbalanced="0"/>
    <cacheHierarchy uniqueName="[Range 1].[Employee ID]" caption="Employee ID" attribute="1" defaultMemberUniqueName="[Range 1].[Employee ID].[All]" allUniqueName="[Range 1].[Employee ID].[All]" dimensionUniqueName="[Range 1]" displayFolder="" count="0" memberValueDatatype="130" unbalanced="0"/>
    <cacheHierarchy uniqueName="[Range 1].[Name]" caption="Name" attribute="1" defaultMemberUniqueName="[Range 1].[Name].[All]" allUniqueName="[Range 1].[Name].[All]" dimensionUniqueName="[Range 1]" displayFolder="" count="0" memberValueDatatype="130" unbalanced="0"/>
    <cacheHierarchy uniqueName="[Range 1].[Department]" caption="Department" attribute="1" defaultMemberUniqueName="[Range 1].[Department].[All]" allUniqueName="[Range 1].[Department].[All]" dimensionUniqueName="[Range 1]" displayFolder="" count="2" memberValueDatatype="130" unbalanced="0">
      <fieldsUsage count="2">
        <fieldUsage x="-1"/>
        <fieldUsage x="0"/>
      </fieldsUsage>
    </cacheHierarchy>
    <cacheHierarchy uniqueName="[Range 1].[Country]" caption="Country" attribute="1" defaultMemberUniqueName="[Range 1].[Country].[All]" allUniqueName="[Range 1].[Country].[All]" dimensionUniqueName="[Range 1]" displayFolder="" count="0" memberValueDatatype="130" unbalanced="0"/>
    <cacheHierarchy uniqueName="[Range 1].[Salary]" caption="Salary" attribute="1" defaultMemberUniqueName="[Range 1].[Salary].[All]" allUniqueName="[Range 1].[Salary].[All]" dimensionUniqueName="[Range 1]" displayFolder="" count="0" memberValueDatatype="5" unbalanced="0"/>
    <cacheHierarchy uniqueName="[Range 1].[Date of Joining]" caption="Date of Joining" attribute="1" defaultMemberUniqueName="[Range 1].[Date of Joining].[All]" allUniqueName="[Range 1].[Date of Joining].[All]" dimensionUniqueName="[Range 1]" displayFolder="" count="0" memberValueDatatype="130" unbalanced="0"/>
    <cacheHierarchy uniqueName="[Range 1].[Performance Rating]" caption="Performance Rating" attribute="1" defaultMemberUniqueName="[Range 1].[Performance Rating].[All]" allUniqueName="[Range 1].[Performance Rating].[All]" dimensionUniqueName="[Range 1]" displayFolder="" count="0" memberValueDatatype="5" unbalanced="0"/>
    <cacheHierarchy uniqueName="[Range 1].[Gender]" caption="Gender" attribute="1" defaultMemberUniqueName="[Range 1].[Gender].[All]" allUniqueName="[Range 1].[Gender].[All]" dimensionUniqueName="[Range 1]" displayFolder="" count="0" memberValueDatatype="130" unbalanced="0"/>
    <cacheHierarchy uniqueName="[Range 2].[Employee ID]" caption="Employee ID" attribute="1" defaultMemberUniqueName="[Range 2].[Employee ID].[All]" allUniqueName="[Range 2].[Employee ID].[All]" dimensionUniqueName="[Range 2]" displayFolder="" count="0" memberValueDatatype="130" unbalanced="0"/>
    <cacheHierarchy uniqueName="[Range 2].[Name]" caption="Name" attribute="1" defaultMemberUniqueName="[Range 2].[Name].[All]" allUniqueName="[Range 2].[Name].[All]" dimensionUniqueName="[Range 2]" displayFolder="" count="2" memberValueDatatype="130" unbalanced="0">
      <fieldsUsage count="2">
        <fieldUsage x="-1"/>
        <fieldUsage x="3"/>
      </fieldsUsage>
    </cacheHierarchy>
    <cacheHierarchy uniqueName="[Range 2].[Department]" caption="Department" attribute="1" defaultMemberUniqueName="[Range 2].[Department].[All]" allUniqueName="[Range 2].[Department].[All]" dimensionUniqueName="[Range 2]" displayFolder="" count="0" memberValueDatatype="130" unbalanced="0"/>
    <cacheHierarchy uniqueName="[Range 2].[Country]" caption="Country" attribute="1" defaultMemberUniqueName="[Range 2].[Country].[All]" allUniqueName="[Range 2].[Country].[All]" dimensionUniqueName="[Range 2]" displayFolder="" count="0" memberValueDatatype="130" unbalanced="0"/>
    <cacheHierarchy uniqueName="[Range 2].[Salary]" caption="Salary" attribute="1" defaultMemberUniqueName="[Range 2].[Salary].[All]" allUniqueName="[Range 2].[Salary].[All]" dimensionUniqueName="[Range 2]" displayFolder="" count="0" memberValueDatatype="5" unbalanced="0"/>
    <cacheHierarchy uniqueName="[Range 2].[Date of Joining]" caption="Date of Joining" attribute="1" defaultMemberUniqueName="[Range 2].[Date of Joining].[All]" allUniqueName="[Range 2].[Date of Joining].[All]" dimensionUniqueName="[Range 2]" displayFolder="" count="0" memberValueDatatype="130" unbalanced="0"/>
    <cacheHierarchy uniqueName="[Range 2].[Performance Rating]" caption="Performance Rating" attribute="1" defaultMemberUniqueName="[Range 2].[Performance Rating].[All]" allUniqueName="[Range 2].[Performance Rating].[All]" dimensionUniqueName="[Range 2]" displayFolder="" count="0" memberValueDatatype="5" unbalanced="0"/>
    <cacheHierarchy uniqueName="[Range 2].[Gender]" caption="Gender" attribute="1" defaultMemberUniqueName="[Range 2].[Gender].[All]" allUniqueName="[Range 2].[Gender].[All]" dimensionUniqueName="[Range 2]" displayFolder="" count="0" memberValueDatatype="130" unbalanced="0"/>
    <cacheHierarchy uniqueName="[Table117  Employee ID   Gender].[Employee ID]" caption="Employee ID" attribute="1" defaultMemberUniqueName="[Table117  Employee ID   Gender].[Employee ID].[All]" allUniqueName="[Table117  Employee ID   Gender].[Employee ID].[All]" dimensionUniqueName="[Table117  Employee ID   Gender]" displayFolder="" count="0" memberValueDatatype="130" unbalanced="0"/>
    <cacheHierarchy uniqueName="[Table117  Employee ID   Gender].[Name]" caption="Name" attribute="1" defaultMemberUniqueName="[Table117  Employee ID   Gender].[Name].[All]" allUniqueName="[Table117  Employee ID   Gender].[Name].[All]" dimensionUniqueName="[Table117  Employee ID   Gender]" displayFolder="" count="0" memberValueDatatype="130" unbalanced="0"/>
    <cacheHierarchy uniqueName="[Table117  Employee ID   Gender].[Department]" caption="Department" attribute="1" defaultMemberUniqueName="[Table117  Employee ID   Gender].[Department].[All]" allUniqueName="[Table117  Employee ID   Gender].[Department].[All]" dimensionUniqueName="[Table117  Employee ID   Gender]" displayFolder="" count="0" memberValueDatatype="130" unbalanced="0"/>
    <cacheHierarchy uniqueName="[Table117  Employee ID   Gender].[Country]" caption="Country" attribute="1" defaultMemberUniqueName="[Table117  Employee ID   Gender].[Country].[All]" allUniqueName="[Table117  Employee ID   Gender].[Country].[All]" dimensionUniqueName="[Table117  Employee ID   Gender]" displayFolder="" count="0" memberValueDatatype="130" unbalanced="0"/>
    <cacheHierarchy uniqueName="[Table117  Employee ID   Gender].[Salary]" caption="Salary" attribute="1" defaultMemberUniqueName="[Table117  Employee ID   Gender].[Salary].[All]" allUniqueName="[Table117  Employee ID   Gender].[Salary].[All]" dimensionUniqueName="[Table117  Employee ID   Gender]" displayFolder="" count="0" memberValueDatatype="5" unbalanced="0"/>
    <cacheHierarchy uniqueName="[Table117  Employee ID   Gender].[Date of Joining]" caption="Date of Joining" attribute="1" defaultMemberUniqueName="[Table117  Employee ID   Gender].[Date of Joining].[All]" allUniqueName="[Table117  Employee ID   Gender].[Date of Joining].[All]" dimensionUniqueName="[Table117  Employee ID   Gender]" displayFolder="" count="0" memberValueDatatype="130" unbalanced="0"/>
    <cacheHierarchy uniqueName="[Table117  Employee ID   Gender].[Joined Month]" caption="Joined Month" attribute="1" defaultMemberUniqueName="[Table117  Employee ID   Gender].[Joined Month].[All]" allUniqueName="[Table117  Employee ID   Gender].[Joined Month].[All]" dimensionUniqueName="[Table117  Employee ID   Gender]" displayFolder="" count="0" memberValueDatatype="130" unbalanced="0"/>
    <cacheHierarchy uniqueName="[Table117  Employee ID   Gender].[Performance Rating]" caption="Performance Rating" attribute="1" defaultMemberUniqueName="[Table117  Employee ID   Gender].[Performance Rating].[All]" allUniqueName="[Table117  Employee ID   Gender].[Performance Rating].[All]" dimensionUniqueName="[Table117  Employee ID   Gender]" displayFolder="" count="0" memberValueDatatype="5" unbalanced="0"/>
    <cacheHierarchy uniqueName="[Table117  Employee ID   Gender].[Gender]" caption="Gender" attribute="1" defaultMemberUniqueName="[Table117  Employee ID   Gender].[Gender].[All]" allUniqueName="[Table117  Employee ID   Gender].[Gender].[All]" dimensionUniqueName="[Table117  Employee ID   Gender]" displayFolder="" count="0" memberValueDatatype="130" unbalanced="0"/>
    <cacheHierarchy uniqueName="[Measures].[__XL_Count Range]" caption="__XL_Count Range" measure="1" displayFolder="" measureGroup="Range" count="0" hidden="1"/>
    <cacheHierarchy uniqueName="[Measures].[__XL_Count Table117  Employee ID   Gender]" caption="__XL_Count Table117  Employee ID   Gender" measure="1" displayFolder="" measureGroup="Table117  Employee ID   Gender"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No measures defined]" caption="__No measures defined" measure="1" displayFolder="" count="0" hidden="1"/>
    <cacheHierarchy uniqueName="[Measures].[Sum of Performance Rating]" caption="Sum of Performance Rating" measure="1" displayFolder="" measureGroup="Range" count="0" hidden="1">
      <extLst>
        <ext xmlns:x15="http://schemas.microsoft.com/office/spreadsheetml/2010/11/main" uri="{B97F6D7D-B522-45F9-BDA1-12C45D357490}">
          <x15:cacheHierarchy aggregatedColumn="6"/>
        </ext>
      </extLst>
    </cacheHierarchy>
    <cacheHierarchy uniqueName="[Measures].[Max of Performance Rating]" caption="Max of Performance Rating" measure="1" displayFolder="" measureGroup="Range" count="0" hidden="1">
      <extLst>
        <ext xmlns:x15="http://schemas.microsoft.com/office/spreadsheetml/2010/11/main" uri="{B97F6D7D-B522-45F9-BDA1-12C45D357490}">
          <x15:cacheHierarchy aggregatedColumn="6"/>
        </ext>
      </extLst>
    </cacheHierarchy>
    <cacheHierarchy uniqueName="[Measures].[Sum of Salary]" caption="Sum of Salary" measure="1" displayFolder="" measureGroup="Range" count="0" hidden="1">
      <extLst>
        <ext xmlns:x15="http://schemas.microsoft.com/office/spreadsheetml/2010/11/main" uri="{B97F6D7D-B522-45F9-BDA1-12C45D357490}">
          <x15:cacheHierarchy aggregatedColumn="4"/>
        </ext>
      </extLst>
    </cacheHierarchy>
    <cacheHierarchy uniqueName="[Measures].[Average of Salary]" caption="Average of Salary" measure="1" displayFolder="" measureGroup="Range" count="0" hidden="1">
      <extLst>
        <ext xmlns:x15="http://schemas.microsoft.com/office/spreadsheetml/2010/11/main" uri="{B97F6D7D-B522-45F9-BDA1-12C45D357490}">
          <x15:cacheHierarchy aggregatedColumn="4"/>
        </ext>
      </extLst>
    </cacheHierarchy>
    <cacheHierarchy uniqueName="[Measures].[Count of Joined Month]" caption="Count of Joined Month" measure="1" displayFolder="" measureGroup="Table117  Employee ID   Gender" count="0" hidden="1">
      <extLst>
        <ext xmlns:x15="http://schemas.microsoft.com/office/spreadsheetml/2010/11/main" uri="{B97F6D7D-B522-45F9-BDA1-12C45D357490}">
          <x15:cacheHierarchy aggregatedColumn="30"/>
        </ext>
      </extLst>
    </cacheHierarchy>
    <cacheHierarchy uniqueName="[Measures].[Sum of Salary 2]" caption="Sum of Salary 2" measure="1" displayFolder="" measureGroup="Table117  Employee ID   Gender" count="0" hidden="1">
      <extLst>
        <ext xmlns:x15="http://schemas.microsoft.com/office/spreadsheetml/2010/11/main" uri="{B97F6D7D-B522-45F9-BDA1-12C45D357490}">
          <x15:cacheHierarchy aggregatedColumn="28"/>
        </ext>
      </extLst>
    </cacheHierarchy>
    <cacheHierarchy uniqueName="[Measures].[Min of Salary]" caption="Min of Salary" measure="1" displayFolder="" measureGroup="Table117  Employee ID   Gender" count="0" hidden="1">
      <extLst>
        <ext xmlns:x15="http://schemas.microsoft.com/office/spreadsheetml/2010/11/main" uri="{B97F6D7D-B522-45F9-BDA1-12C45D357490}">
          <x15:cacheHierarchy aggregatedColumn="28"/>
        </ext>
      </extLst>
    </cacheHierarchy>
    <cacheHierarchy uniqueName="[Measures].[Sum of Salary 3]" caption="Sum of Salary 3" measure="1" displayFolder="" measureGroup="Range 1" count="0" oneField="1" hidden="1">
      <fieldsUsage count="1">
        <fieldUsage x="1"/>
      </fieldsUsage>
      <extLst>
        <ext xmlns:x15="http://schemas.microsoft.com/office/spreadsheetml/2010/11/main" uri="{B97F6D7D-B522-45F9-BDA1-12C45D357490}">
          <x15:cacheHierarchy aggregatedColumn="12"/>
        </ext>
      </extLst>
    </cacheHierarchy>
    <cacheHierarchy uniqueName="[Measures].[Count of Name]" caption="Count of Name" measure="1" displayFolder="" measureGroup="Range 1"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Employee ID]" caption="Count of Employee ID" measure="1" displayFolder="" measureGroup="Range 2" count="0" hidden="1">
      <extLst>
        <ext xmlns:x15="http://schemas.microsoft.com/office/spreadsheetml/2010/11/main" uri="{B97F6D7D-B522-45F9-BDA1-12C45D357490}">
          <x15:cacheHierarchy aggregatedColumn="16"/>
        </ext>
      </extLst>
    </cacheHierarchy>
    <cacheHierarchy uniqueName="[Measures].[Sum of Salary 4]" caption="Sum of Salary 4" measure="1" displayFolder="" measureGroup="Range 2" count="0" hidden="1">
      <extLst>
        <ext xmlns:x15="http://schemas.microsoft.com/office/spreadsheetml/2010/11/main" uri="{B97F6D7D-B522-45F9-BDA1-12C45D357490}">
          <x15:cacheHierarchy aggregatedColumn="20"/>
        </ext>
      </extLst>
    </cacheHierarchy>
    <cacheHierarchy uniqueName="[Measures].[Average of Salary 2]" caption="Average of Salary 2" measure="1" displayFolder="" measureGroup="Range 2" count="0" hidden="1">
      <extLst>
        <ext xmlns:x15="http://schemas.microsoft.com/office/spreadsheetml/2010/11/main" uri="{B97F6D7D-B522-45F9-BDA1-12C45D357490}">
          <x15:cacheHierarchy aggregatedColumn="20"/>
        </ext>
      </extLst>
    </cacheHierarchy>
    <cacheHierarchy uniqueName="[Measures].[Count of Employee ID 2]" caption="Count of Employee ID 2" measure="1" displayFolder="" measureGroup="Range" count="0" hidden="1">
      <extLst>
        <ext xmlns:x15="http://schemas.microsoft.com/office/spreadsheetml/2010/11/main" uri="{B97F6D7D-B522-45F9-BDA1-12C45D357490}">
          <x15:cacheHierarchy aggregatedColumn="0"/>
        </ext>
      </extLst>
    </cacheHierarchy>
    <cacheHierarchy uniqueName="[Measures].[Count of Department]" caption="Count of Department" measure="1" displayFolder="" measureGroup="Range" count="0" hidden="1">
      <extLst>
        <ext xmlns:x15="http://schemas.microsoft.com/office/spreadsheetml/2010/11/main" uri="{B97F6D7D-B522-45F9-BDA1-12C45D357490}">
          <x15:cacheHierarchy aggregatedColumn="2"/>
        </ext>
      </extLst>
    </cacheHierarchy>
  </cacheHierarchies>
  <kpis count="0"/>
  <dimensions count="5">
    <dimension measure="1" name="Measures" uniqueName="[Measures]" caption="Measures"/>
    <dimension name="Range" uniqueName="[Range]" caption="Range"/>
    <dimension name="Range 1" uniqueName="[Range 1]" caption="Range 1"/>
    <dimension name="Range 2" uniqueName="[Range 2]" caption="Range 2"/>
    <dimension name="Table117  Employee ID   Gender" uniqueName="[Table117  Employee ID   Gender]" caption="Table117  Employee ID   Gender"/>
  </dimensions>
  <measureGroups count="4">
    <measureGroup name="Range" caption="Range"/>
    <measureGroup name="Range 1" caption="Range 1"/>
    <measureGroup name="Range 2" caption="Range 2"/>
    <measureGroup name="Table117  Employee ID   Gender" caption="Table117  Employee ID   Gender"/>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ishna" refreshedDate="45978.389189467591" backgroundQuery="1" createdVersion="8" refreshedVersion="8" minRefreshableVersion="3" recordCount="0" supportSubquery="1" supportAdvancedDrill="1" xr:uid="{3601BE7A-487C-4E54-B92E-A1FF07045D62}">
  <cacheSource type="external" connectionId="2"/>
  <cacheFields count="4">
    <cacheField name="[Range].[Department].[Department]" caption="Department" numFmtId="0" hierarchy="2" level="1">
      <sharedItems count="6">
        <s v="Finance"/>
        <s v="HR"/>
        <s v="IT"/>
        <s v="Marketing"/>
        <s v="Sales"/>
        <s v="Unknown"/>
      </sharedItems>
    </cacheField>
    <cacheField name="[Measures].[Sum of Salary]" caption="Sum of Salary" numFmtId="0" hierarchy="40" level="32767"/>
    <cacheField name="[Range].[Name].[Name]" caption="Name" numFmtId="0" hierarchy="1" level="1">
      <sharedItems containsSemiMixedTypes="0" containsNonDate="0" containsString="0"/>
    </cacheField>
    <cacheField name="[Range].[Employee ID].[Employee ID]" caption="Employee ID" numFmtId="0" level="1">
      <sharedItems containsSemiMixedTypes="0" containsNonDate="0" containsString="0"/>
    </cacheField>
  </cacheFields>
  <cacheHierarchies count="52">
    <cacheHierarchy uniqueName="[Range].[Employee ID]" caption="Employee ID" attribute="1" defaultMemberUniqueName="[Range].[Employee ID].[All]" allUniqueName="[Range].[Employee ID].[All]" dimensionUniqueName="[Range]" displayFolder="" count="2" memberValueDatatype="130" unbalanced="0">
      <fieldsUsage count="2">
        <fieldUsage x="-1"/>
        <fieldUsage x="3"/>
      </fieldsUsage>
    </cacheHierarchy>
    <cacheHierarchy uniqueName="[Range].[Name]" caption="Name" attribute="1" defaultMemberUniqueName="[Range].[Name].[All]" allUniqueName="[Range].[Name].[All]" dimensionUniqueName="[Range]" displayFolder="" count="2" memberValueDatatype="130" unbalanced="0">
      <fieldsUsage count="2">
        <fieldUsage x="-1"/>
        <fieldUsage x="2"/>
      </fieldsUsage>
    </cacheHierarchy>
    <cacheHierarchy uniqueName="[Range].[Department]" caption="Department" attribute="1" defaultMemberUniqueName="[Range].[Department].[All]" allUniqueName="[Range].[Department].[All]" dimensionUniqueName="[Range]" displayFolder="" count="2" memberValueDatatype="130" unbalanced="0">
      <fieldsUsage count="2">
        <fieldUsage x="-1"/>
        <fieldUsage x="0"/>
      </fieldsUsage>
    </cacheHierarchy>
    <cacheHierarchy uniqueName="[Range].[Country]" caption="Country" attribute="1" defaultMemberUniqueName="[Range].[Country].[All]" allUniqueName="[Range].[Country].[All]" dimensionUniqueName="[Range]" displayFolder="" count="2" memberValueDatatype="130" unbalanced="0"/>
    <cacheHierarchy uniqueName="[Range].[Salary]" caption="Salary" attribute="1" defaultMemberUniqueName="[Range].[Salary].[All]" allUniqueName="[Range].[Salary].[All]" dimensionUniqueName="[Range]" displayFolder="" count="2" memberValueDatatype="5" unbalanced="0"/>
    <cacheHierarchy uniqueName="[Range].[Date of Joining]" caption="Date of Joining" attribute="1" defaultMemberUniqueName="[Range].[Date of Joining].[All]" allUniqueName="[Range].[Date of Joining].[All]" dimensionUniqueName="[Range]" displayFolder="" count="2" memberValueDatatype="130" unbalanced="0"/>
    <cacheHierarchy uniqueName="[Range].[Performance Rating]" caption="Performance Rating" attribute="1" defaultMemberUniqueName="[Range].[Performance Rating].[All]" allUniqueName="[Range].[Performance Rating].[All]" dimensionUniqueName="[Range]" displayFolder="" count="2" memberValueDatatype="5" unbalanced="0"/>
    <cacheHierarchy uniqueName="[Range].[Gender]" caption="Gender" attribute="1" defaultMemberUniqueName="[Range].[Gender].[All]" allUniqueName="[Range].[Gender].[All]" dimensionUniqueName="[Range]" displayFolder="" count="2" memberValueDatatype="130" unbalanced="0"/>
    <cacheHierarchy uniqueName="[Range 1].[Employee ID]" caption="Employee ID" attribute="1" defaultMemberUniqueName="[Range 1].[Employee ID].[All]" allUniqueName="[Range 1].[Employee ID].[All]" dimensionUniqueName="[Range 1]" displayFolder="" count="2" memberValueDatatype="130" unbalanced="0"/>
    <cacheHierarchy uniqueName="[Range 1].[Name]" caption="Name" attribute="1" defaultMemberUniqueName="[Range 1].[Name].[All]" allUniqueName="[Range 1].[Name].[All]" dimensionUniqueName="[Range 1]" displayFolder="" count="2" memberValueDatatype="130" unbalanced="0"/>
    <cacheHierarchy uniqueName="[Range 1].[Department]" caption="Department" attribute="1" defaultMemberUniqueName="[Range 1].[Department].[All]" allUniqueName="[Range 1].[Department].[All]" dimensionUniqueName="[Range 1]" displayFolder="" count="2" memberValueDatatype="130" unbalanced="0"/>
    <cacheHierarchy uniqueName="[Range 1].[Country]" caption="Country" attribute="1" defaultMemberUniqueName="[Range 1].[Country].[All]" allUniqueName="[Range 1].[Country].[All]" dimensionUniqueName="[Range 1]" displayFolder="" count="2" memberValueDatatype="130" unbalanced="0"/>
    <cacheHierarchy uniqueName="[Range 1].[Salary]" caption="Salary" attribute="1" defaultMemberUniqueName="[Range 1].[Salary].[All]" allUniqueName="[Range 1].[Salary].[All]" dimensionUniqueName="[Range 1]" displayFolder="" count="2" memberValueDatatype="5" unbalanced="0"/>
    <cacheHierarchy uniqueName="[Range 1].[Date of Joining]" caption="Date of Joining" attribute="1" defaultMemberUniqueName="[Range 1].[Date of Joining].[All]" allUniqueName="[Range 1].[Date of Joining].[All]" dimensionUniqueName="[Range 1]" displayFolder="" count="2" memberValueDatatype="130" unbalanced="0"/>
    <cacheHierarchy uniqueName="[Range 1].[Performance Rating]" caption="Performance Rating" attribute="1" defaultMemberUniqueName="[Range 1].[Performance Rating].[All]" allUniqueName="[Range 1].[Performance Rating].[All]" dimensionUniqueName="[Range 1]" displayFolder="" count="2" memberValueDatatype="5" unbalanced="0"/>
    <cacheHierarchy uniqueName="[Range 1].[Gender]" caption="Gender" attribute="1" defaultMemberUniqueName="[Range 1].[Gender].[All]" allUniqueName="[Range 1].[Gender].[All]" dimensionUniqueName="[Range 1]" displayFolder="" count="2" memberValueDatatype="130" unbalanced="0"/>
    <cacheHierarchy uniqueName="[Range 2].[Employee ID]" caption="Employee ID" attribute="1" defaultMemberUniqueName="[Range 2].[Employee ID].[All]" allUniqueName="[Range 2].[Employee ID].[All]" dimensionUniqueName="[Range 2]" displayFolder="" count="2" memberValueDatatype="130" unbalanced="0"/>
    <cacheHierarchy uniqueName="[Range 2].[Name]" caption="Name" attribute="1" defaultMemberUniqueName="[Range 2].[Name].[All]" allUniqueName="[Range 2].[Name].[All]" dimensionUniqueName="[Range 2]" displayFolder="" count="2" memberValueDatatype="130" unbalanced="0"/>
    <cacheHierarchy uniqueName="[Range 2].[Department]" caption="Department" attribute="1" defaultMemberUniqueName="[Range 2].[Department].[All]" allUniqueName="[Range 2].[Department].[All]" dimensionUniqueName="[Range 2]" displayFolder="" count="2" memberValueDatatype="130" unbalanced="0"/>
    <cacheHierarchy uniqueName="[Range 2].[Country]" caption="Country" attribute="1" defaultMemberUniqueName="[Range 2].[Country].[All]" allUniqueName="[Range 2].[Country].[All]" dimensionUniqueName="[Range 2]" displayFolder="" count="2" memberValueDatatype="130" unbalanced="0"/>
    <cacheHierarchy uniqueName="[Range 2].[Salary]" caption="Salary" attribute="1" defaultMemberUniqueName="[Range 2].[Salary].[All]" allUniqueName="[Range 2].[Salary].[All]" dimensionUniqueName="[Range 2]" displayFolder="" count="2" memberValueDatatype="5" unbalanced="0"/>
    <cacheHierarchy uniqueName="[Range 2].[Date of Joining]" caption="Date of Joining" attribute="1" defaultMemberUniqueName="[Range 2].[Date of Joining].[All]" allUniqueName="[Range 2].[Date of Joining].[All]" dimensionUniqueName="[Range 2]" displayFolder="" count="2" memberValueDatatype="130" unbalanced="0"/>
    <cacheHierarchy uniqueName="[Range 2].[Performance Rating]" caption="Performance Rating" attribute="1" defaultMemberUniqueName="[Range 2].[Performance Rating].[All]" allUniqueName="[Range 2].[Performance Rating].[All]" dimensionUniqueName="[Range 2]" displayFolder="" count="2" memberValueDatatype="5" unbalanced="0"/>
    <cacheHierarchy uniqueName="[Range 2].[Gender]" caption="Gender" attribute="1" defaultMemberUniqueName="[Range 2].[Gender].[All]" allUniqueName="[Range 2].[Gender].[All]" dimensionUniqueName="[Range 2]" displayFolder="" count="2" memberValueDatatype="130" unbalanced="0"/>
    <cacheHierarchy uniqueName="[Table117  Employee ID   Gender].[Employee ID]" caption="Employee ID" attribute="1" defaultMemberUniqueName="[Table117  Employee ID   Gender].[Employee ID].[All]" allUniqueName="[Table117  Employee ID   Gender].[Employee ID].[All]" dimensionUniqueName="[Table117  Employee ID   Gender]" displayFolder="" count="2" memberValueDatatype="130" unbalanced="0"/>
    <cacheHierarchy uniqueName="[Table117  Employee ID   Gender].[Name]" caption="Name" attribute="1" defaultMemberUniqueName="[Table117  Employee ID   Gender].[Name].[All]" allUniqueName="[Table117  Employee ID   Gender].[Name].[All]" dimensionUniqueName="[Table117  Employee ID   Gender]" displayFolder="" count="2" memberValueDatatype="130" unbalanced="0"/>
    <cacheHierarchy uniqueName="[Table117  Employee ID   Gender].[Department]" caption="Department" attribute="1" defaultMemberUniqueName="[Table117  Employee ID   Gender].[Department].[All]" allUniqueName="[Table117  Employee ID   Gender].[Department].[All]" dimensionUniqueName="[Table117  Employee ID   Gender]" displayFolder="" count="2" memberValueDatatype="130" unbalanced="0"/>
    <cacheHierarchy uniqueName="[Table117  Employee ID   Gender].[Country]" caption="Country" attribute="1" defaultMemberUniqueName="[Table117  Employee ID   Gender].[Country].[All]" allUniqueName="[Table117  Employee ID   Gender].[Country].[All]" dimensionUniqueName="[Table117  Employee ID   Gender]" displayFolder="" count="2" memberValueDatatype="130" unbalanced="0"/>
    <cacheHierarchy uniqueName="[Table117  Employee ID   Gender].[Salary]" caption="Salary" attribute="1" defaultMemberUniqueName="[Table117  Employee ID   Gender].[Salary].[All]" allUniqueName="[Table117  Employee ID   Gender].[Salary].[All]" dimensionUniqueName="[Table117  Employee ID   Gender]" displayFolder="" count="2" memberValueDatatype="5" unbalanced="0"/>
    <cacheHierarchy uniqueName="[Table117  Employee ID   Gender].[Date of Joining]" caption="Date of Joining" attribute="1" defaultMemberUniqueName="[Table117  Employee ID   Gender].[Date of Joining].[All]" allUniqueName="[Table117  Employee ID   Gender].[Date of Joining].[All]" dimensionUniqueName="[Table117  Employee ID   Gender]" displayFolder="" count="2" memberValueDatatype="130" unbalanced="0"/>
    <cacheHierarchy uniqueName="[Table117  Employee ID   Gender].[Joined Month]" caption="Joined Month" attribute="1" defaultMemberUniqueName="[Table117  Employee ID   Gender].[Joined Month].[All]" allUniqueName="[Table117  Employee ID   Gender].[Joined Month].[All]" dimensionUniqueName="[Table117  Employee ID   Gender]" displayFolder="" count="2" memberValueDatatype="130" unbalanced="0"/>
    <cacheHierarchy uniqueName="[Table117  Employee ID   Gender].[Performance Rating]" caption="Performance Rating" attribute="1" defaultMemberUniqueName="[Table117  Employee ID   Gender].[Performance Rating].[All]" allUniqueName="[Table117  Employee ID   Gender].[Performance Rating].[All]" dimensionUniqueName="[Table117  Employee ID   Gender]" displayFolder="" count="2" memberValueDatatype="5" unbalanced="0"/>
    <cacheHierarchy uniqueName="[Table117  Employee ID   Gender].[Gender]" caption="Gender" attribute="1" defaultMemberUniqueName="[Table117  Employee ID   Gender].[Gender].[All]" allUniqueName="[Table117  Employee ID   Gender].[Gender].[All]" dimensionUniqueName="[Table117  Employee ID   Gender]" displayFolder="" count="2" memberValueDatatype="130" unbalanced="0"/>
    <cacheHierarchy uniqueName="[Measures].[__XL_Count Range]" caption="__XL_Count Range" measure="1" displayFolder="" measureGroup="Range" count="0" hidden="1"/>
    <cacheHierarchy uniqueName="[Measures].[__XL_Count Table117  Employee ID   Gender]" caption="__XL_Count Table117  Employee ID   Gender" measure="1" displayFolder="" measureGroup="Table117  Employee ID   Gender"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No measures defined]" caption="__No measures defined" measure="1" displayFolder="" count="0" hidden="1"/>
    <cacheHierarchy uniqueName="[Measures].[Sum of Performance Rating]" caption="Sum of Performance Rating" measure="1" displayFolder="" measureGroup="Range" count="0" hidden="1">
      <extLst>
        <ext xmlns:x15="http://schemas.microsoft.com/office/spreadsheetml/2010/11/main" uri="{B97F6D7D-B522-45F9-BDA1-12C45D357490}">
          <x15:cacheHierarchy aggregatedColumn="6"/>
        </ext>
      </extLst>
    </cacheHierarchy>
    <cacheHierarchy uniqueName="[Measures].[Max of Performance Rating]" caption="Max of Performance Rating" measure="1" displayFolder="" measureGroup="Range" count="0" hidden="1">
      <extLst>
        <ext xmlns:x15="http://schemas.microsoft.com/office/spreadsheetml/2010/11/main" uri="{B97F6D7D-B522-45F9-BDA1-12C45D357490}">
          <x15:cacheHierarchy aggregatedColumn="6"/>
        </ext>
      </extLst>
    </cacheHierarchy>
    <cacheHierarchy uniqueName="[Measures].[Sum of Salary]" caption="Sum of Salary" measure="1" displayFolder="" measureGroup="Range" count="0" oneField="1" hidden="1">
      <fieldsUsage count="1">
        <fieldUsage x="1"/>
      </fieldsUsage>
      <extLst>
        <ext xmlns:x15="http://schemas.microsoft.com/office/spreadsheetml/2010/11/main" uri="{B97F6D7D-B522-45F9-BDA1-12C45D357490}">
          <x15:cacheHierarchy aggregatedColumn="4"/>
        </ext>
      </extLst>
    </cacheHierarchy>
    <cacheHierarchy uniqueName="[Measures].[Average of Salary]" caption="Average of Salary" measure="1" displayFolder="" measureGroup="Range" count="0" hidden="1">
      <extLst>
        <ext xmlns:x15="http://schemas.microsoft.com/office/spreadsheetml/2010/11/main" uri="{B97F6D7D-B522-45F9-BDA1-12C45D357490}">
          <x15:cacheHierarchy aggregatedColumn="4"/>
        </ext>
      </extLst>
    </cacheHierarchy>
    <cacheHierarchy uniqueName="[Measures].[Count of Joined Month]" caption="Count of Joined Month" measure="1" displayFolder="" measureGroup="Table117  Employee ID   Gender" count="0" hidden="1">
      <extLst>
        <ext xmlns:x15="http://schemas.microsoft.com/office/spreadsheetml/2010/11/main" uri="{B97F6D7D-B522-45F9-BDA1-12C45D357490}">
          <x15:cacheHierarchy aggregatedColumn="30"/>
        </ext>
      </extLst>
    </cacheHierarchy>
    <cacheHierarchy uniqueName="[Measures].[Sum of Salary 2]" caption="Sum of Salary 2" measure="1" displayFolder="" measureGroup="Table117  Employee ID   Gender" count="0" hidden="1">
      <extLst>
        <ext xmlns:x15="http://schemas.microsoft.com/office/spreadsheetml/2010/11/main" uri="{B97F6D7D-B522-45F9-BDA1-12C45D357490}">
          <x15:cacheHierarchy aggregatedColumn="28"/>
        </ext>
      </extLst>
    </cacheHierarchy>
    <cacheHierarchy uniqueName="[Measures].[Min of Salary]" caption="Min of Salary" measure="1" displayFolder="" measureGroup="Table117  Employee ID   Gender" count="0" hidden="1">
      <extLst>
        <ext xmlns:x15="http://schemas.microsoft.com/office/spreadsheetml/2010/11/main" uri="{B97F6D7D-B522-45F9-BDA1-12C45D357490}">
          <x15:cacheHierarchy aggregatedColumn="28"/>
        </ext>
      </extLst>
    </cacheHierarchy>
    <cacheHierarchy uniqueName="[Measures].[Sum of Salary 3]" caption="Sum of Salary 3" measure="1" displayFolder="" measureGroup="Range 1" count="0" hidden="1">
      <extLst>
        <ext xmlns:x15="http://schemas.microsoft.com/office/spreadsheetml/2010/11/main" uri="{B97F6D7D-B522-45F9-BDA1-12C45D357490}">
          <x15:cacheHierarchy aggregatedColumn="12"/>
        </ext>
      </extLst>
    </cacheHierarchy>
    <cacheHierarchy uniqueName="[Measures].[Count of Name]" caption="Count of Name" measure="1" displayFolder="" measureGroup="Range 1" count="0" hidden="1">
      <extLst>
        <ext xmlns:x15="http://schemas.microsoft.com/office/spreadsheetml/2010/11/main" uri="{B97F6D7D-B522-45F9-BDA1-12C45D357490}">
          <x15:cacheHierarchy aggregatedColumn="9"/>
        </ext>
      </extLst>
    </cacheHierarchy>
    <cacheHierarchy uniqueName="[Measures].[Count of Employee ID]" caption="Count of Employee ID" measure="1" displayFolder="" measureGroup="Range 2" count="0" hidden="1">
      <extLst>
        <ext xmlns:x15="http://schemas.microsoft.com/office/spreadsheetml/2010/11/main" uri="{B97F6D7D-B522-45F9-BDA1-12C45D357490}">
          <x15:cacheHierarchy aggregatedColumn="16"/>
        </ext>
      </extLst>
    </cacheHierarchy>
    <cacheHierarchy uniqueName="[Measures].[Sum of Salary 4]" caption="Sum of Salary 4" measure="1" displayFolder="" measureGroup="Range 2" count="0" hidden="1">
      <extLst>
        <ext xmlns:x15="http://schemas.microsoft.com/office/spreadsheetml/2010/11/main" uri="{B97F6D7D-B522-45F9-BDA1-12C45D357490}">
          <x15:cacheHierarchy aggregatedColumn="20"/>
        </ext>
      </extLst>
    </cacheHierarchy>
    <cacheHierarchy uniqueName="[Measures].[Average of Salary 2]" caption="Average of Salary 2" measure="1" displayFolder="" measureGroup="Range 2" count="0" hidden="1">
      <extLst>
        <ext xmlns:x15="http://schemas.microsoft.com/office/spreadsheetml/2010/11/main" uri="{B97F6D7D-B522-45F9-BDA1-12C45D357490}">
          <x15:cacheHierarchy aggregatedColumn="20"/>
        </ext>
      </extLst>
    </cacheHierarchy>
    <cacheHierarchy uniqueName="[Measures].[Count of Employee ID 2]" caption="Count of Employee ID 2" measure="1" displayFolder="" measureGroup="Range" count="0" hidden="1">
      <extLst>
        <ext xmlns:x15="http://schemas.microsoft.com/office/spreadsheetml/2010/11/main" uri="{B97F6D7D-B522-45F9-BDA1-12C45D357490}">
          <x15:cacheHierarchy aggregatedColumn="0"/>
        </ext>
      </extLst>
    </cacheHierarchy>
    <cacheHierarchy uniqueName="[Measures].[Count of Department]" caption="Count of Department" measure="1" displayFolder="" measureGroup="Range" count="0" hidden="1">
      <extLst>
        <ext xmlns:x15="http://schemas.microsoft.com/office/spreadsheetml/2010/11/main" uri="{B97F6D7D-B522-45F9-BDA1-12C45D357490}">
          <x15:cacheHierarchy aggregatedColumn="2"/>
        </ext>
      </extLst>
    </cacheHierarchy>
  </cacheHierarchies>
  <kpis count="0"/>
  <dimensions count="5">
    <dimension measure="1" name="Measures" uniqueName="[Measures]" caption="Measures"/>
    <dimension name="Range" uniqueName="[Range]" caption="Range"/>
    <dimension name="Range 1" uniqueName="[Range 1]" caption="Range 1"/>
    <dimension name="Range 2" uniqueName="[Range 2]" caption="Range 2"/>
    <dimension name="Table117  Employee ID   Gender" uniqueName="[Table117  Employee ID   Gender]" caption="Table117  Employee ID   Gender"/>
  </dimensions>
  <measureGroups count="4">
    <measureGroup name="Range" caption="Range"/>
    <measureGroup name="Range 1" caption="Range 1"/>
    <measureGroup name="Range 2" caption="Range 2"/>
    <measureGroup name="Table117  Employee ID   Gender" caption="Table117  Employee ID   Gender"/>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ishna" refreshedDate="45978.389190393522" backgroundQuery="1" createdVersion="8" refreshedVersion="8" minRefreshableVersion="3" recordCount="0" supportSubquery="1" supportAdvancedDrill="1" xr:uid="{CC5C4414-9F2B-47CE-857C-6C53E276CB72}">
  <cacheSource type="external" connectionId="2"/>
  <cacheFields count="4">
    <cacheField name="[Measures].[Average of Salary]" caption="Average of Salary" numFmtId="0" hierarchy="41" level="32767"/>
    <cacheField name="[Range].[Department].[Department]" caption="Department" numFmtId="0" hierarchy="2" level="1">
      <sharedItems count="6">
        <s v="Finance"/>
        <s v="HR"/>
        <s v="IT"/>
        <s v="Marketing"/>
        <s v="Sales"/>
        <s v="Unknown"/>
      </sharedItems>
    </cacheField>
    <cacheField name="[Measures].[Count of Employee ID 2]" caption="Count of Employee ID 2" numFmtId="0" hierarchy="50" level="32767"/>
    <cacheField name="[Range].[Employee ID].[Employee ID]" caption="Employee ID" numFmtId="0" level="1">
      <sharedItems containsSemiMixedTypes="0" containsNonDate="0" containsString="0"/>
    </cacheField>
  </cacheFields>
  <cacheHierarchies count="52">
    <cacheHierarchy uniqueName="[Range].[Employee ID]" caption="Employee ID" attribute="1" defaultMemberUniqueName="[Range].[Employee ID].[All]" allUniqueName="[Range].[Employee ID].[All]" dimensionUniqueName="[Range]" displayFolder="" count="2" memberValueDatatype="130" unbalanced="0">
      <fieldsUsage count="2">
        <fieldUsage x="-1"/>
        <fieldUsage x="3"/>
      </fieldsUsage>
    </cacheHierarchy>
    <cacheHierarchy uniqueName="[Range].[Name]" caption="Name" attribute="1" defaultMemberUniqueName="[Range].[Name].[All]" allUniqueName="[Range].[Name].[All]" dimensionUniqueName="[Range]" displayFolder="" count="0" memberValueDatatype="130" unbalanced="0"/>
    <cacheHierarchy uniqueName="[Range].[Department]" caption="Department" attribute="1" defaultMemberUniqueName="[Range].[Department].[All]" allUniqueName="[Range].[Department].[All]" dimensionUniqueName="[Range]" displayFolder="" count="2" memberValueDatatype="130" unbalanced="0">
      <fieldsUsage count="2">
        <fieldUsage x="-1"/>
        <fieldUsage x="1"/>
      </fieldsUsage>
    </cacheHierarchy>
    <cacheHierarchy uniqueName="[Range].[Country]" caption="Country" attribute="1" defaultMemberUniqueName="[Range].[Country].[All]" allUniqueName="[Range].[Country].[All]" dimensionUniqueName="[Range]" displayFolder="" count="0" memberValueDatatype="130" unbalanced="0"/>
    <cacheHierarchy uniqueName="[Range].[Salary]" caption="Salary" attribute="1" defaultMemberUniqueName="[Range].[Salary].[All]" allUniqueName="[Range].[Salary].[All]" dimensionUniqueName="[Range]" displayFolder="" count="0" memberValueDatatype="5" unbalanced="0"/>
    <cacheHierarchy uniqueName="[Range].[Date of Joining]" caption="Date of Joining" attribute="1" defaultMemberUniqueName="[Range].[Date of Joining].[All]" allUniqueName="[Range].[Date of Joining].[All]" dimensionUniqueName="[Range]" displayFolder="" count="0" memberValueDatatype="130" unbalanced="0"/>
    <cacheHierarchy uniqueName="[Range].[Performance Rating]" caption="Performance Rating" attribute="1" defaultMemberUniqueName="[Range].[Performance Rating].[All]" allUniqueName="[Range].[Performance Rating].[All]" dimensionUniqueName="[Range]" displayFolder="" count="0" memberValueDatatype="5" unbalanced="0"/>
    <cacheHierarchy uniqueName="[Range].[Gender]" caption="Gender" attribute="1" defaultMemberUniqueName="[Range].[Gender].[All]" allUniqueName="[Range].[Gender].[All]" dimensionUniqueName="[Range]" displayFolder="" count="0" memberValueDatatype="130" unbalanced="0"/>
    <cacheHierarchy uniqueName="[Range 1].[Employee ID]" caption="Employee ID" attribute="1" defaultMemberUniqueName="[Range 1].[Employee ID].[All]" allUniqueName="[Range 1].[Employee ID].[All]" dimensionUniqueName="[Range 1]" displayFolder="" count="0" memberValueDatatype="130" unbalanced="0"/>
    <cacheHierarchy uniqueName="[Range 1].[Name]" caption="Name" attribute="1" defaultMemberUniqueName="[Range 1].[Name].[All]" allUniqueName="[Range 1].[Name].[All]" dimensionUniqueName="[Range 1]" displayFolder="" count="0" memberValueDatatype="130" unbalanced="0"/>
    <cacheHierarchy uniqueName="[Range 1].[Department]" caption="Department" attribute="1" defaultMemberUniqueName="[Range 1].[Department].[All]" allUniqueName="[Range 1].[Department].[All]" dimensionUniqueName="[Range 1]" displayFolder="" count="0" memberValueDatatype="130" unbalanced="0"/>
    <cacheHierarchy uniqueName="[Range 1].[Country]" caption="Country" attribute="1" defaultMemberUniqueName="[Range 1].[Country].[All]" allUniqueName="[Range 1].[Country].[All]" dimensionUniqueName="[Range 1]" displayFolder="" count="0" memberValueDatatype="130" unbalanced="0"/>
    <cacheHierarchy uniqueName="[Range 1].[Salary]" caption="Salary" attribute="1" defaultMemberUniqueName="[Range 1].[Salary].[All]" allUniqueName="[Range 1].[Salary].[All]" dimensionUniqueName="[Range 1]" displayFolder="" count="0" memberValueDatatype="5" unbalanced="0"/>
    <cacheHierarchy uniqueName="[Range 1].[Date of Joining]" caption="Date of Joining" attribute="1" defaultMemberUniqueName="[Range 1].[Date of Joining].[All]" allUniqueName="[Range 1].[Date of Joining].[All]" dimensionUniqueName="[Range 1]" displayFolder="" count="0" memberValueDatatype="130" unbalanced="0"/>
    <cacheHierarchy uniqueName="[Range 1].[Performance Rating]" caption="Performance Rating" attribute="1" defaultMemberUniqueName="[Range 1].[Performance Rating].[All]" allUniqueName="[Range 1].[Performance Rating].[All]" dimensionUniqueName="[Range 1]" displayFolder="" count="0" memberValueDatatype="5" unbalanced="0"/>
    <cacheHierarchy uniqueName="[Range 1].[Gender]" caption="Gender" attribute="1" defaultMemberUniqueName="[Range 1].[Gender].[All]" allUniqueName="[Range 1].[Gender].[All]" dimensionUniqueName="[Range 1]" displayFolder="" count="0" memberValueDatatype="130" unbalanced="0"/>
    <cacheHierarchy uniqueName="[Range 2].[Employee ID]" caption="Employee ID" attribute="1" defaultMemberUniqueName="[Range 2].[Employee ID].[All]" allUniqueName="[Range 2].[Employee ID].[All]" dimensionUniqueName="[Range 2]" displayFolder="" count="0" memberValueDatatype="130" unbalanced="0"/>
    <cacheHierarchy uniqueName="[Range 2].[Name]" caption="Name" attribute="1" defaultMemberUniqueName="[Range 2].[Name].[All]" allUniqueName="[Range 2].[Name].[All]" dimensionUniqueName="[Range 2]" displayFolder="" count="2" memberValueDatatype="130" unbalanced="0"/>
    <cacheHierarchy uniqueName="[Range 2].[Department]" caption="Department" attribute="1" defaultMemberUniqueName="[Range 2].[Department].[All]" allUniqueName="[Range 2].[Department].[All]" dimensionUniqueName="[Range 2]" displayFolder="" count="0" memberValueDatatype="130" unbalanced="0"/>
    <cacheHierarchy uniqueName="[Range 2].[Country]" caption="Country" attribute="1" defaultMemberUniqueName="[Range 2].[Country].[All]" allUniqueName="[Range 2].[Country].[All]" dimensionUniqueName="[Range 2]" displayFolder="" count="0" memberValueDatatype="130" unbalanced="0"/>
    <cacheHierarchy uniqueName="[Range 2].[Salary]" caption="Salary" attribute="1" defaultMemberUniqueName="[Range 2].[Salary].[All]" allUniqueName="[Range 2].[Salary].[All]" dimensionUniqueName="[Range 2]" displayFolder="" count="0" memberValueDatatype="5" unbalanced="0"/>
    <cacheHierarchy uniqueName="[Range 2].[Date of Joining]" caption="Date of Joining" attribute="1" defaultMemberUniqueName="[Range 2].[Date of Joining].[All]" allUniqueName="[Range 2].[Date of Joining].[All]" dimensionUniqueName="[Range 2]" displayFolder="" count="0" memberValueDatatype="130" unbalanced="0"/>
    <cacheHierarchy uniqueName="[Range 2].[Performance Rating]" caption="Performance Rating" attribute="1" defaultMemberUniqueName="[Range 2].[Performance Rating].[All]" allUniqueName="[Range 2].[Performance Rating].[All]" dimensionUniqueName="[Range 2]" displayFolder="" count="0" memberValueDatatype="5" unbalanced="0"/>
    <cacheHierarchy uniqueName="[Range 2].[Gender]" caption="Gender" attribute="1" defaultMemberUniqueName="[Range 2].[Gender].[All]" allUniqueName="[Range 2].[Gender].[All]" dimensionUniqueName="[Range 2]" displayFolder="" count="0" memberValueDatatype="130" unbalanced="0"/>
    <cacheHierarchy uniqueName="[Table117  Employee ID   Gender].[Employee ID]" caption="Employee ID" attribute="1" defaultMemberUniqueName="[Table117  Employee ID   Gender].[Employee ID].[All]" allUniqueName="[Table117  Employee ID   Gender].[Employee ID].[All]" dimensionUniqueName="[Table117  Employee ID   Gender]" displayFolder="" count="0" memberValueDatatype="130" unbalanced="0"/>
    <cacheHierarchy uniqueName="[Table117  Employee ID   Gender].[Name]" caption="Name" attribute="1" defaultMemberUniqueName="[Table117  Employee ID   Gender].[Name].[All]" allUniqueName="[Table117  Employee ID   Gender].[Name].[All]" dimensionUniqueName="[Table117  Employee ID   Gender]" displayFolder="" count="0" memberValueDatatype="130" unbalanced="0"/>
    <cacheHierarchy uniqueName="[Table117  Employee ID   Gender].[Department]" caption="Department" attribute="1" defaultMemberUniqueName="[Table117  Employee ID   Gender].[Department].[All]" allUniqueName="[Table117  Employee ID   Gender].[Department].[All]" dimensionUniqueName="[Table117  Employee ID   Gender]" displayFolder="" count="0" memberValueDatatype="130" unbalanced="0"/>
    <cacheHierarchy uniqueName="[Table117  Employee ID   Gender].[Country]" caption="Country" attribute="1" defaultMemberUniqueName="[Table117  Employee ID   Gender].[Country].[All]" allUniqueName="[Table117  Employee ID   Gender].[Country].[All]" dimensionUniqueName="[Table117  Employee ID   Gender]" displayFolder="" count="0" memberValueDatatype="130" unbalanced="0"/>
    <cacheHierarchy uniqueName="[Table117  Employee ID   Gender].[Salary]" caption="Salary" attribute="1" defaultMemberUniqueName="[Table117  Employee ID   Gender].[Salary].[All]" allUniqueName="[Table117  Employee ID   Gender].[Salary].[All]" dimensionUniqueName="[Table117  Employee ID   Gender]" displayFolder="" count="0" memberValueDatatype="5" unbalanced="0"/>
    <cacheHierarchy uniqueName="[Table117  Employee ID   Gender].[Date of Joining]" caption="Date of Joining" attribute="1" defaultMemberUniqueName="[Table117  Employee ID   Gender].[Date of Joining].[All]" allUniqueName="[Table117  Employee ID   Gender].[Date of Joining].[All]" dimensionUniqueName="[Table117  Employee ID   Gender]" displayFolder="" count="0" memberValueDatatype="130" unbalanced="0"/>
    <cacheHierarchy uniqueName="[Table117  Employee ID   Gender].[Joined Month]" caption="Joined Month" attribute="1" defaultMemberUniqueName="[Table117  Employee ID   Gender].[Joined Month].[All]" allUniqueName="[Table117  Employee ID   Gender].[Joined Month].[All]" dimensionUniqueName="[Table117  Employee ID   Gender]" displayFolder="" count="0" memberValueDatatype="130" unbalanced="0"/>
    <cacheHierarchy uniqueName="[Table117  Employee ID   Gender].[Performance Rating]" caption="Performance Rating" attribute="1" defaultMemberUniqueName="[Table117  Employee ID   Gender].[Performance Rating].[All]" allUniqueName="[Table117  Employee ID   Gender].[Performance Rating].[All]" dimensionUniqueName="[Table117  Employee ID   Gender]" displayFolder="" count="0" memberValueDatatype="5" unbalanced="0"/>
    <cacheHierarchy uniqueName="[Table117  Employee ID   Gender].[Gender]" caption="Gender" attribute="1" defaultMemberUniqueName="[Table117  Employee ID   Gender].[Gender].[All]" allUniqueName="[Table117  Employee ID   Gender].[Gender].[All]" dimensionUniqueName="[Table117  Employee ID   Gender]" displayFolder="" count="0" memberValueDatatype="130" unbalanced="0"/>
    <cacheHierarchy uniqueName="[Measures].[__XL_Count Range]" caption="__XL_Count Range" measure="1" displayFolder="" measureGroup="Range" count="0" hidden="1"/>
    <cacheHierarchy uniqueName="[Measures].[__XL_Count Table117  Employee ID   Gender]" caption="__XL_Count Table117  Employee ID   Gender" measure="1" displayFolder="" measureGroup="Table117  Employee ID   Gender"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No measures defined]" caption="__No measures defined" measure="1" displayFolder="" count="0" hidden="1"/>
    <cacheHierarchy uniqueName="[Measures].[Sum of Performance Rating]" caption="Sum of Performance Rating" measure="1" displayFolder="" measureGroup="Range" count="0" hidden="1">
      <extLst>
        <ext xmlns:x15="http://schemas.microsoft.com/office/spreadsheetml/2010/11/main" uri="{B97F6D7D-B522-45F9-BDA1-12C45D357490}">
          <x15:cacheHierarchy aggregatedColumn="6"/>
        </ext>
      </extLst>
    </cacheHierarchy>
    <cacheHierarchy uniqueName="[Measures].[Max of Performance Rating]" caption="Max of Performance Rating" measure="1" displayFolder="" measureGroup="Range" count="0" hidden="1">
      <extLst>
        <ext xmlns:x15="http://schemas.microsoft.com/office/spreadsheetml/2010/11/main" uri="{B97F6D7D-B522-45F9-BDA1-12C45D357490}">
          <x15:cacheHierarchy aggregatedColumn="6"/>
        </ext>
      </extLst>
    </cacheHierarchy>
    <cacheHierarchy uniqueName="[Measures].[Sum of Salary]" caption="Sum of Salary" measure="1" displayFolder="" measureGroup="Range" count="0" hidden="1">
      <extLst>
        <ext xmlns:x15="http://schemas.microsoft.com/office/spreadsheetml/2010/11/main" uri="{B97F6D7D-B522-45F9-BDA1-12C45D357490}">
          <x15:cacheHierarchy aggregatedColumn="4"/>
        </ext>
      </extLst>
    </cacheHierarchy>
    <cacheHierarchy uniqueName="[Measures].[Average of Salary]" caption="Average of Salary" measure="1" displayFolder="" measureGroup="Range" count="0" oneField="1" hidden="1">
      <fieldsUsage count="1">
        <fieldUsage x="0"/>
      </fieldsUsage>
      <extLst>
        <ext xmlns:x15="http://schemas.microsoft.com/office/spreadsheetml/2010/11/main" uri="{B97F6D7D-B522-45F9-BDA1-12C45D357490}">
          <x15:cacheHierarchy aggregatedColumn="4"/>
        </ext>
      </extLst>
    </cacheHierarchy>
    <cacheHierarchy uniqueName="[Measures].[Count of Joined Month]" caption="Count of Joined Month" measure="1" displayFolder="" measureGroup="Table117  Employee ID   Gender" count="0" hidden="1">
      <extLst>
        <ext xmlns:x15="http://schemas.microsoft.com/office/spreadsheetml/2010/11/main" uri="{B97F6D7D-B522-45F9-BDA1-12C45D357490}">
          <x15:cacheHierarchy aggregatedColumn="30"/>
        </ext>
      </extLst>
    </cacheHierarchy>
    <cacheHierarchy uniqueName="[Measures].[Sum of Salary 2]" caption="Sum of Salary 2" measure="1" displayFolder="" measureGroup="Table117  Employee ID   Gender" count="0" hidden="1">
      <extLst>
        <ext xmlns:x15="http://schemas.microsoft.com/office/spreadsheetml/2010/11/main" uri="{B97F6D7D-B522-45F9-BDA1-12C45D357490}">
          <x15:cacheHierarchy aggregatedColumn="28"/>
        </ext>
      </extLst>
    </cacheHierarchy>
    <cacheHierarchy uniqueName="[Measures].[Min of Salary]" caption="Min of Salary" measure="1" displayFolder="" measureGroup="Table117  Employee ID   Gender" count="0" hidden="1">
      <extLst>
        <ext xmlns:x15="http://schemas.microsoft.com/office/spreadsheetml/2010/11/main" uri="{B97F6D7D-B522-45F9-BDA1-12C45D357490}">
          <x15:cacheHierarchy aggregatedColumn="28"/>
        </ext>
      </extLst>
    </cacheHierarchy>
    <cacheHierarchy uniqueName="[Measures].[Sum of Salary 3]" caption="Sum of Salary 3" measure="1" displayFolder="" measureGroup="Range 1" count="0" hidden="1">
      <extLst>
        <ext xmlns:x15="http://schemas.microsoft.com/office/spreadsheetml/2010/11/main" uri="{B97F6D7D-B522-45F9-BDA1-12C45D357490}">
          <x15:cacheHierarchy aggregatedColumn="12"/>
        </ext>
      </extLst>
    </cacheHierarchy>
    <cacheHierarchy uniqueName="[Measures].[Count of Name]" caption="Count of Name" measure="1" displayFolder="" measureGroup="Range 1" count="0" hidden="1">
      <extLst>
        <ext xmlns:x15="http://schemas.microsoft.com/office/spreadsheetml/2010/11/main" uri="{B97F6D7D-B522-45F9-BDA1-12C45D357490}">
          <x15:cacheHierarchy aggregatedColumn="9"/>
        </ext>
      </extLst>
    </cacheHierarchy>
    <cacheHierarchy uniqueName="[Measures].[Count of Employee ID]" caption="Count of Employee ID" measure="1" displayFolder="" measureGroup="Range 2" count="0" hidden="1">
      <extLst>
        <ext xmlns:x15="http://schemas.microsoft.com/office/spreadsheetml/2010/11/main" uri="{B97F6D7D-B522-45F9-BDA1-12C45D357490}">
          <x15:cacheHierarchy aggregatedColumn="16"/>
        </ext>
      </extLst>
    </cacheHierarchy>
    <cacheHierarchy uniqueName="[Measures].[Sum of Salary 4]" caption="Sum of Salary 4" measure="1" displayFolder="" measureGroup="Range 2" count="0" hidden="1">
      <extLst>
        <ext xmlns:x15="http://schemas.microsoft.com/office/spreadsheetml/2010/11/main" uri="{B97F6D7D-B522-45F9-BDA1-12C45D357490}">
          <x15:cacheHierarchy aggregatedColumn="20"/>
        </ext>
      </extLst>
    </cacheHierarchy>
    <cacheHierarchy uniqueName="[Measures].[Average of Salary 2]" caption="Average of Salary 2" measure="1" displayFolder="" measureGroup="Range 2" count="0" hidden="1">
      <extLst>
        <ext xmlns:x15="http://schemas.microsoft.com/office/spreadsheetml/2010/11/main" uri="{B97F6D7D-B522-45F9-BDA1-12C45D357490}">
          <x15:cacheHierarchy aggregatedColumn="20"/>
        </ext>
      </extLst>
    </cacheHierarchy>
    <cacheHierarchy uniqueName="[Measures].[Count of Employee ID 2]" caption="Count of Employee ID 2" measure="1" displayFolder="" measureGroup="Range" count="0" oneField="1" hidden="1">
      <fieldsUsage count="1">
        <fieldUsage x="2"/>
      </fieldsUsage>
      <extLst>
        <ext xmlns:x15="http://schemas.microsoft.com/office/spreadsheetml/2010/11/main" uri="{B97F6D7D-B522-45F9-BDA1-12C45D357490}">
          <x15:cacheHierarchy aggregatedColumn="0"/>
        </ext>
      </extLst>
    </cacheHierarchy>
    <cacheHierarchy uniqueName="[Measures].[Count of Department]" caption="Count of Department" measure="1" displayFolder="" measureGroup="Range" count="0" hidden="1">
      <extLst>
        <ext xmlns:x15="http://schemas.microsoft.com/office/spreadsheetml/2010/11/main" uri="{B97F6D7D-B522-45F9-BDA1-12C45D357490}">
          <x15:cacheHierarchy aggregatedColumn="2"/>
        </ext>
      </extLst>
    </cacheHierarchy>
  </cacheHierarchies>
  <kpis count="0"/>
  <dimensions count="5">
    <dimension measure="1" name="Measures" uniqueName="[Measures]" caption="Measures"/>
    <dimension name="Range" uniqueName="[Range]" caption="Range"/>
    <dimension name="Range 1" uniqueName="[Range 1]" caption="Range 1"/>
    <dimension name="Range 2" uniqueName="[Range 2]" caption="Range 2"/>
    <dimension name="Table117  Employee ID   Gender" uniqueName="[Table117  Employee ID   Gender]" caption="Table117  Employee ID   Gender"/>
  </dimensions>
  <measureGroups count="4">
    <measureGroup name="Range" caption="Range"/>
    <measureGroup name="Range 1" caption="Range 1"/>
    <measureGroup name="Range 2" caption="Range 2"/>
    <measureGroup name="Table117  Employee ID   Gender" caption="Table117  Employee ID   Gender"/>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ishna" refreshedDate="45978.389191898146" backgroundQuery="1" createdVersion="8" refreshedVersion="8" minRefreshableVersion="3" recordCount="0" supportSubquery="1" supportAdvancedDrill="1" xr:uid="{8A8A9F56-6A83-433F-9F7C-FC3E3D581033}">
  <cacheSource type="external" connectionId="2"/>
  <cacheFields count="3">
    <cacheField name="[Range].[Department].[Department]" caption="Department" numFmtId="0" hierarchy="2" level="1">
      <sharedItems count="6">
        <s v="Finance"/>
        <s v="HR"/>
        <s v="IT"/>
        <s v="Marketing"/>
        <s v="Sales"/>
        <s v="Unknown"/>
      </sharedItems>
    </cacheField>
    <cacheField name="[Measures].[Sum of Salary]" caption="Sum of Salary" numFmtId="0" hierarchy="40" level="32767"/>
    <cacheField name="[Range].[Employee ID].[Employee ID]" caption="Employee ID" numFmtId="0" level="1">
      <sharedItems containsSemiMixedTypes="0" containsNonDate="0" containsString="0"/>
    </cacheField>
  </cacheFields>
  <cacheHierarchies count="52">
    <cacheHierarchy uniqueName="[Range].[Employee ID]" caption="Employee ID" attribute="1" defaultMemberUniqueName="[Range].[Employee ID].[All]" allUniqueName="[Range].[Employee ID].[All]" dimensionUniqueName="[Range]" displayFolder="" count="2" memberValueDatatype="130" unbalanced="0">
      <fieldsUsage count="2">
        <fieldUsage x="-1"/>
        <fieldUsage x="2"/>
      </fieldsUsage>
    </cacheHierarchy>
    <cacheHierarchy uniqueName="[Range].[Name]" caption="Name" attribute="1" defaultMemberUniqueName="[Range].[Name].[All]" allUniqueName="[Range].[Name].[All]" dimensionUniqueName="[Range]" displayFolder="" count="2" memberValueDatatype="130" unbalanced="0"/>
    <cacheHierarchy uniqueName="[Range].[Department]" caption="Department" attribute="1" defaultMemberUniqueName="[Range].[Department].[All]" allUniqueName="[Range].[Department].[All]" dimensionUniqueName="[Range]" displayFolder="" count="2" memberValueDatatype="130" unbalanced="0">
      <fieldsUsage count="2">
        <fieldUsage x="-1"/>
        <fieldUsage x="0"/>
      </fieldsUsage>
    </cacheHierarchy>
    <cacheHierarchy uniqueName="[Range].[Country]" caption="Country" attribute="1" defaultMemberUniqueName="[Range].[Country].[All]" allUniqueName="[Range].[Country].[All]" dimensionUniqueName="[Range]" displayFolder="" count="2" memberValueDatatype="130" unbalanced="0"/>
    <cacheHierarchy uniqueName="[Range].[Salary]" caption="Salary" attribute="1" defaultMemberUniqueName="[Range].[Salary].[All]" allUniqueName="[Range].[Salary].[All]" dimensionUniqueName="[Range]" displayFolder="" count="2" memberValueDatatype="5" unbalanced="0"/>
    <cacheHierarchy uniqueName="[Range].[Date of Joining]" caption="Date of Joining" attribute="1" defaultMemberUniqueName="[Range].[Date of Joining].[All]" allUniqueName="[Range].[Date of Joining].[All]" dimensionUniqueName="[Range]" displayFolder="" count="2" memberValueDatatype="130" unbalanced="0"/>
    <cacheHierarchy uniqueName="[Range].[Performance Rating]" caption="Performance Rating" attribute="1" defaultMemberUniqueName="[Range].[Performance Rating].[All]" allUniqueName="[Range].[Performance Rating].[All]" dimensionUniqueName="[Range]" displayFolder="" count="2" memberValueDatatype="5" unbalanced="0"/>
    <cacheHierarchy uniqueName="[Range].[Gender]" caption="Gender" attribute="1" defaultMemberUniqueName="[Range].[Gender].[All]" allUniqueName="[Range].[Gender].[All]" dimensionUniqueName="[Range]" displayFolder="" count="2" memberValueDatatype="130" unbalanced="0"/>
    <cacheHierarchy uniqueName="[Range 1].[Employee ID]" caption="Employee ID" attribute="1" defaultMemberUniqueName="[Range 1].[Employee ID].[All]" allUniqueName="[Range 1].[Employee ID].[All]" dimensionUniqueName="[Range 1]" displayFolder="" count="2" memberValueDatatype="130" unbalanced="0"/>
    <cacheHierarchy uniqueName="[Range 1].[Name]" caption="Name" attribute="1" defaultMemberUniqueName="[Range 1].[Name].[All]" allUniqueName="[Range 1].[Name].[All]" dimensionUniqueName="[Range 1]" displayFolder="" count="2" memberValueDatatype="130" unbalanced="0"/>
    <cacheHierarchy uniqueName="[Range 1].[Department]" caption="Department" attribute="1" defaultMemberUniqueName="[Range 1].[Department].[All]" allUniqueName="[Range 1].[Department].[All]" dimensionUniqueName="[Range 1]" displayFolder="" count="2" memberValueDatatype="130" unbalanced="0"/>
    <cacheHierarchy uniqueName="[Range 1].[Country]" caption="Country" attribute="1" defaultMemberUniqueName="[Range 1].[Country].[All]" allUniqueName="[Range 1].[Country].[All]" dimensionUniqueName="[Range 1]" displayFolder="" count="2" memberValueDatatype="130" unbalanced="0"/>
    <cacheHierarchy uniqueName="[Range 1].[Salary]" caption="Salary" attribute="1" defaultMemberUniqueName="[Range 1].[Salary].[All]" allUniqueName="[Range 1].[Salary].[All]" dimensionUniqueName="[Range 1]" displayFolder="" count="2" memberValueDatatype="5" unbalanced="0"/>
    <cacheHierarchy uniqueName="[Range 1].[Date of Joining]" caption="Date of Joining" attribute="1" defaultMemberUniqueName="[Range 1].[Date of Joining].[All]" allUniqueName="[Range 1].[Date of Joining].[All]" dimensionUniqueName="[Range 1]" displayFolder="" count="2" memberValueDatatype="130" unbalanced="0"/>
    <cacheHierarchy uniqueName="[Range 1].[Performance Rating]" caption="Performance Rating" attribute="1" defaultMemberUniqueName="[Range 1].[Performance Rating].[All]" allUniqueName="[Range 1].[Performance Rating].[All]" dimensionUniqueName="[Range 1]" displayFolder="" count="2" memberValueDatatype="5" unbalanced="0"/>
    <cacheHierarchy uniqueName="[Range 1].[Gender]" caption="Gender" attribute="1" defaultMemberUniqueName="[Range 1].[Gender].[All]" allUniqueName="[Range 1].[Gender].[All]" dimensionUniqueName="[Range 1]" displayFolder="" count="2" memberValueDatatype="130" unbalanced="0"/>
    <cacheHierarchy uniqueName="[Range 2].[Employee ID]" caption="Employee ID" attribute="1" defaultMemberUniqueName="[Range 2].[Employee ID].[All]" allUniqueName="[Range 2].[Employee ID].[All]" dimensionUniqueName="[Range 2]" displayFolder="" count="2" memberValueDatatype="130" unbalanced="0"/>
    <cacheHierarchy uniqueName="[Range 2].[Name]" caption="Name" attribute="1" defaultMemberUniqueName="[Range 2].[Name].[All]" allUniqueName="[Range 2].[Name].[All]" dimensionUniqueName="[Range 2]" displayFolder="" count="2" memberValueDatatype="130" unbalanced="0"/>
    <cacheHierarchy uniqueName="[Range 2].[Department]" caption="Department" attribute="1" defaultMemberUniqueName="[Range 2].[Department].[All]" allUniqueName="[Range 2].[Department].[All]" dimensionUniqueName="[Range 2]" displayFolder="" count="2" memberValueDatatype="130" unbalanced="0"/>
    <cacheHierarchy uniqueName="[Range 2].[Country]" caption="Country" attribute="1" defaultMemberUniqueName="[Range 2].[Country].[All]" allUniqueName="[Range 2].[Country].[All]" dimensionUniqueName="[Range 2]" displayFolder="" count="2" memberValueDatatype="130" unbalanced="0"/>
    <cacheHierarchy uniqueName="[Range 2].[Salary]" caption="Salary" attribute="1" defaultMemberUniqueName="[Range 2].[Salary].[All]" allUniqueName="[Range 2].[Salary].[All]" dimensionUniqueName="[Range 2]" displayFolder="" count="2" memberValueDatatype="5" unbalanced="0"/>
    <cacheHierarchy uniqueName="[Range 2].[Date of Joining]" caption="Date of Joining" attribute="1" defaultMemberUniqueName="[Range 2].[Date of Joining].[All]" allUniqueName="[Range 2].[Date of Joining].[All]" dimensionUniqueName="[Range 2]" displayFolder="" count="2" memberValueDatatype="130" unbalanced="0"/>
    <cacheHierarchy uniqueName="[Range 2].[Performance Rating]" caption="Performance Rating" attribute="1" defaultMemberUniqueName="[Range 2].[Performance Rating].[All]" allUniqueName="[Range 2].[Performance Rating].[All]" dimensionUniqueName="[Range 2]" displayFolder="" count="2" memberValueDatatype="5" unbalanced="0"/>
    <cacheHierarchy uniqueName="[Range 2].[Gender]" caption="Gender" attribute="1" defaultMemberUniqueName="[Range 2].[Gender].[All]" allUniqueName="[Range 2].[Gender].[All]" dimensionUniqueName="[Range 2]" displayFolder="" count="2" memberValueDatatype="130" unbalanced="0"/>
    <cacheHierarchy uniqueName="[Table117  Employee ID   Gender].[Employee ID]" caption="Employee ID" attribute="1" defaultMemberUniqueName="[Table117  Employee ID   Gender].[Employee ID].[All]" allUniqueName="[Table117  Employee ID   Gender].[Employee ID].[All]" dimensionUniqueName="[Table117  Employee ID   Gender]" displayFolder="" count="2" memberValueDatatype="130" unbalanced="0"/>
    <cacheHierarchy uniqueName="[Table117  Employee ID   Gender].[Name]" caption="Name" attribute="1" defaultMemberUniqueName="[Table117  Employee ID   Gender].[Name].[All]" allUniqueName="[Table117  Employee ID   Gender].[Name].[All]" dimensionUniqueName="[Table117  Employee ID   Gender]" displayFolder="" count="2" memberValueDatatype="130" unbalanced="0"/>
    <cacheHierarchy uniqueName="[Table117  Employee ID   Gender].[Department]" caption="Department" attribute="1" defaultMemberUniqueName="[Table117  Employee ID   Gender].[Department].[All]" allUniqueName="[Table117  Employee ID   Gender].[Department].[All]" dimensionUniqueName="[Table117  Employee ID   Gender]" displayFolder="" count="2" memberValueDatatype="130" unbalanced="0"/>
    <cacheHierarchy uniqueName="[Table117  Employee ID   Gender].[Country]" caption="Country" attribute="1" defaultMemberUniqueName="[Table117  Employee ID   Gender].[Country].[All]" allUniqueName="[Table117  Employee ID   Gender].[Country].[All]" dimensionUniqueName="[Table117  Employee ID   Gender]" displayFolder="" count="2" memberValueDatatype="130" unbalanced="0"/>
    <cacheHierarchy uniqueName="[Table117  Employee ID   Gender].[Salary]" caption="Salary" attribute="1" defaultMemberUniqueName="[Table117  Employee ID   Gender].[Salary].[All]" allUniqueName="[Table117  Employee ID   Gender].[Salary].[All]" dimensionUniqueName="[Table117  Employee ID   Gender]" displayFolder="" count="2" memberValueDatatype="5" unbalanced="0"/>
    <cacheHierarchy uniqueName="[Table117  Employee ID   Gender].[Date of Joining]" caption="Date of Joining" attribute="1" defaultMemberUniqueName="[Table117  Employee ID   Gender].[Date of Joining].[All]" allUniqueName="[Table117  Employee ID   Gender].[Date of Joining].[All]" dimensionUniqueName="[Table117  Employee ID   Gender]" displayFolder="" count="2" memberValueDatatype="130" unbalanced="0"/>
    <cacheHierarchy uniqueName="[Table117  Employee ID   Gender].[Joined Month]" caption="Joined Month" attribute="1" defaultMemberUniqueName="[Table117  Employee ID   Gender].[Joined Month].[All]" allUniqueName="[Table117  Employee ID   Gender].[Joined Month].[All]" dimensionUniqueName="[Table117  Employee ID   Gender]" displayFolder="" count="2" memberValueDatatype="130" unbalanced="0"/>
    <cacheHierarchy uniqueName="[Table117  Employee ID   Gender].[Performance Rating]" caption="Performance Rating" attribute="1" defaultMemberUniqueName="[Table117  Employee ID   Gender].[Performance Rating].[All]" allUniqueName="[Table117  Employee ID   Gender].[Performance Rating].[All]" dimensionUniqueName="[Table117  Employee ID   Gender]" displayFolder="" count="2" memberValueDatatype="5" unbalanced="0"/>
    <cacheHierarchy uniqueName="[Table117  Employee ID   Gender].[Gender]" caption="Gender" attribute="1" defaultMemberUniqueName="[Table117  Employee ID   Gender].[Gender].[All]" allUniqueName="[Table117  Employee ID   Gender].[Gender].[All]" dimensionUniqueName="[Table117  Employee ID   Gender]" displayFolder="" count="2" memberValueDatatype="130" unbalanced="0"/>
    <cacheHierarchy uniqueName="[Measures].[__XL_Count Range]" caption="__XL_Count Range" measure="1" displayFolder="" measureGroup="Range" count="0" hidden="1"/>
    <cacheHierarchy uniqueName="[Measures].[__XL_Count Table117  Employee ID   Gender]" caption="__XL_Count Table117  Employee ID   Gender" measure="1" displayFolder="" measureGroup="Table117  Employee ID   Gender"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No measures defined]" caption="__No measures defined" measure="1" displayFolder="" count="0" hidden="1"/>
    <cacheHierarchy uniqueName="[Measures].[Sum of Performance Rating]" caption="Sum of Performance Rating" measure="1" displayFolder="" measureGroup="Range" count="0" hidden="1">
      <extLst>
        <ext xmlns:x15="http://schemas.microsoft.com/office/spreadsheetml/2010/11/main" uri="{B97F6D7D-B522-45F9-BDA1-12C45D357490}">
          <x15:cacheHierarchy aggregatedColumn="6"/>
        </ext>
      </extLst>
    </cacheHierarchy>
    <cacheHierarchy uniqueName="[Measures].[Max of Performance Rating]" caption="Max of Performance Rating" measure="1" displayFolder="" measureGroup="Range" count="0" hidden="1">
      <extLst>
        <ext xmlns:x15="http://schemas.microsoft.com/office/spreadsheetml/2010/11/main" uri="{B97F6D7D-B522-45F9-BDA1-12C45D357490}">
          <x15:cacheHierarchy aggregatedColumn="6"/>
        </ext>
      </extLst>
    </cacheHierarchy>
    <cacheHierarchy uniqueName="[Measures].[Sum of Salary]" caption="Sum of Salary" measure="1" displayFolder="" measureGroup="Range" count="0" oneField="1" hidden="1">
      <fieldsUsage count="1">
        <fieldUsage x="1"/>
      </fieldsUsage>
      <extLst>
        <ext xmlns:x15="http://schemas.microsoft.com/office/spreadsheetml/2010/11/main" uri="{B97F6D7D-B522-45F9-BDA1-12C45D357490}">
          <x15:cacheHierarchy aggregatedColumn="4"/>
        </ext>
      </extLst>
    </cacheHierarchy>
    <cacheHierarchy uniqueName="[Measures].[Average of Salary]" caption="Average of Salary" measure="1" displayFolder="" measureGroup="Range" count="0" hidden="1">
      <extLst>
        <ext xmlns:x15="http://schemas.microsoft.com/office/spreadsheetml/2010/11/main" uri="{B97F6D7D-B522-45F9-BDA1-12C45D357490}">
          <x15:cacheHierarchy aggregatedColumn="4"/>
        </ext>
      </extLst>
    </cacheHierarchy>
    <cacheHierarchy uniqueName="[Measures].[Count of Joined Month]" caption="Count of Joined Month" measure="1" displayFolder="" measureGroup="Table117  Employee ID   Gender" count="0" hidden="1">
      <extLst>
        <ext xmlns:x15="http://schemas.microsoft.com/office/spreadsheetml/2010/11/main" uri="{B97F6D7D-B522-45F9-BDA1-12C45D357490}">
          <x15:cacheHierarchy aggregatedColumn="30"/>
        </ext>
      </extLst>
    </cacheHierarchy>
    <cacheHierarchy uniqueName="[Measures].[Sum of Salary 2]" caption="Sum of Salary 2" measure="1" displayFolder="" measureGroup="Table117  Employee ID   Gender" count="0" hidden="1">
      <extLst>
        <ext xmlns:x15="http://schemas.microsoft.com/office/spreadsheetml/2010/11/main" uri="{B97F6D7D-B522-45F9-BDA1-12C45D357490}">
          <x15:cacheHierarchy aggregatedColumn="28"/>
        </ext>
      </extLst>
    </cacheHierarchy>
    <cacheHierarchy uniqueName="[Measures].[Min of Salary]" caption="Min of Salary" measure="1" displayFolder="" measureGroup="Table117  Employee ID   Gender" count="0" hidden="1">
      <extLst>
        <ext xmlns:x15="http://schemas.microsoft.com/office/spreadsheetml/2010/11/main" uri="{B97F6D7D-B522-45F9-BDA1-12C45D357490}">
          <x15:cacheHierarchy aggregatedColumn="28"/>
        </ext>
      </extLst>
    </cacheHierarchy>
    <cacheHierarchy uniqueName="[Measures].[Sum of Salary 3]" caption="Sum of Salary 3" measure="1" displayFolder="" measureGroup="Range 1" count="0" hidden="1">
      <extLst>
        <ext xmlns:x15="http://schemas.microsoft.com/office/spreadsheetml/2010/11/main" uri="{B97F6D7D-B522-45F9-BDA1-12C45D357490}">
          <x15:cacheHierarchy aggregatedColumn="12"/>
        </ext>
      </extLst>
    </cacheHierarchy>
    <cacheHierarchy uniqueName="[Measures].[Count of Name]" caption="Count of Name" measure="1" displayFolder="" measureGroup="Range 1" count="0" hidden="1">
      <extLst>
        <ext xmlns:x15="http://schemas.microsoft.com/office/spreadsheetml/2010/11/main" uri="{B97F6D7D-B522-45F9-BDA1-12C45D357490}">
          <x15:cacheHierarchy aggregatedColumn="9"/>
        </ext>
      </extLst>
    </cacheHierarchy>
    <cacheHierarchy uniqueName="[Measures].[Count of Employee ID]" caption="Count of Employee ID" measure="1" displayFolder="" measureGroup="Range 2" count="0" hidden="1">
      <extLst>
        <ext xmlns:x15="http://schemas.microsoft.com/office/spreadsheetml/2010/11/main" uri="{B97F6D7D-B522-45F9-BDA1-12C45D357490}">
          <x15:cacheHierarchy aggregatedColumn="16"/>
        </ext>
      </extLst>
    </cacheHierarchy>
    <cacheHierarchy uniqueName="[Measures].[Sum of Salary 4]" caption="Sum of Salary 4" measure="1" displayFolder="" measureGroup="Range 2" count="0" hidden="1">
      <extLst>
        <ext xmlns:x15="http://schemas.microsoft.com/office/spreadsheetml/2010/11/main" uri="{B97F6D7D-B522-45F9-BDA1-12C45D357490}">
          <x15:cacheHierarchy aggregatedColumn="20"/>
        </ext>
      </extLst>
    </cacheHierarchy>
    <cacheHierarchy uniqueName="[Measures].[Average of Salary 2]" caption="Average of Salary 2" measure="1" displayFolder="" measureGroup="Range 2" count="0" hidden="1">
      <extLst>
        <ext xmlns:x15="http://schemas.microsoft.com/office/spreadsheetml/2010/11/main" uri="{B97F6D7D-B522-45F9-BDA1-12C45D357490}">
          <x15:cacheHierarchy aggregatedColumn="20"/>
        </ext>
      </extLst>
    </cacheHierarchy>
    <cacheHierarchy uniqueName="[Measures].[Count of Employee ID 2]" caption="Count of Employee ID 2" measure="1" displayFolder="" measureGroup="Range" count="0" hidden="1">
      <extLst>
        <ext xmlns:x15="http://schemas.microsoft.com/office/spreadsheetml/2010/11/main" uri="{B97F6D7D-B522-45F9-BDA1-12C45D357490}">
          <x15:cacheHierarchy aggregatedColumn="0"/>
        </ext>
      </extLst>
    </cacheHierarchy>
    <cacheHierarchy uniqueName="[Measures].[Count of Department]" caption="Count of Department" measure="1" displayFolder="" measureGroup="Range" count="0" hidden="1">
      <extLst>
        <ext xmlns:x15="http://schemas.microsoft.com/office/spreadsheetml/2010/11/main" uri="{B97F6D7D-B522-45F9-BDA1-12C45D357490}">
          <x15:cacheHierarchy aggregatedColumn="2"/>
        </ext>
      </extLst>
    </cacheHierarchy>
  </cacheHierarchies>
  <kpis count="0"/>
  <dimensions count="5">
    <dimension measure="1" name="Measures" uniqueName="[Measures]" caption="Measures"/>
    <dimension name="Range" uniqueName="[Range]" caption="Range"/>
    <dimension name="Range 1" uniqueName="[Range 1]" caption="Range 1"/>
    <dimension name="Range 2" uniqueName="[Range 2]" caption="Range 2"/>
    <dimension name="Table117  Employee ID   Gender" uniqueName="[Table117  Employee ID   Gender]" caption="Table117  Employee ID   Gender"/>
  </dimensions>
  <measureGroups count="4">
    <measureGroup name="Range" caption="Range"/>
    <measureGroup name="Range 1" caption="Range 1"/>
    <measureGroup name="Range 2" caption="Range 2"/>
    <measureGroup name="Table117  Employee ID   Gender" caption="Table117  Employee ID   Gender"/>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ishna" refreshedDate="45978.389192708331" backgroundQuery="1" createdVersion="8" refreshedVersion="8" minRefreshableVersion="3" recordCount="0" supportSubquery="1" supportAdvancedDrill="1" xr:uid="{065A8A2A-89E8-4265-83A0-174EF67BE179}">
  <cacheSource type="external" connectionId="2"/>
  <cacheFields count="3">
    <cacheField name="[Range].[Gender].[Gender]" caption="Gender" numFmtId="0" hierarchy="7" level="1">
      <sharedItems count="4">
        <s v="Female"/>
        <s v="Male"/>
        <s v="Other"/>
        <s v="Unknown"/>
      </sharedItems>
    </cacheField>
    <cacheField name="[Measures].[Count of Employee ID 2]" caption="Count of Employee ID 2" numFmtId="0" hierarchy="50" level="32767"/>
    <cacheField name="[Range].[Employee ID].[Employee ID]" caption="Employee ID" numFmtId="0" level="1">
      <sharedItems containsSemiMixedTypes="0" containsNonDate="0" containsString="0"/>
    </cacheField>
  </cacheFields>
  <cacheHierarchies count="52">
    <cacheHierarchy uniqueName="[Range].[Employee ID]" caption="Employee ID" attribute="1" defaultMemberUniqueName="[Range].[Employee ID].[All]" allUniqueName="[Range].[Employee ID].[All]" dimensionUniqueName="[Range]" displayFolder="" count="2" memberValueDatatype="130" unbalanced="0">
      <fieldsUsage count="2">
        <fieldUsage x="-1"/>
        <fieldUsage x="2"/>
      </fieldsUsage>
    </cacheHierarchy>
    <cacheHierarchy uniqueName="[Range].[Name]" caption="Name" attribute="1" defaultMemberUniqueName="[Range].[Name].[All]" allUniqueName="[Range].[Name].[All]" dimensionUniqueName="[Range]" displayFolder="" count="0" memberValueDatatype="130" unbalanced="0"/>
    <cacheHierarchy uniqueName="[Range].[Department]" caption="Department" attribute="1" defaultMemberUniqueName="[Range].[Department].[All]" allUniqueName="[Range].[Department].[All]" dimensionUniqueName="[Range]" displayFolder="" count="2" memberValueDatatype="130" unbalanced="0"/>
    <cacheHierarchy uniqueName="[Range].[Country]" caption="Country" attribute="1" defaultMemberUniqueName="[Range].[Country].[All]" allUniqueName="[Range].[Country].[All]" dimensionUniqueName="[Range]" displayFolder="" count="0" memberValueDatatype="130" unbalanced="0"/>
    <cacheHierarchy uniqueName="[Range].[Salary]" caption="Salary" attribute="1" defaultMemberUniqueName="[Range].[Salary].[All]" allUniqueName="[Range].[Salary].[All]" dimensionUniqueName="[Range]" displayFolder="" count="0" memberValueDatatype="5" unbalanced="0"/>
    <cacheHierarchy uniqueName="[Range].[Date of Joining]" caption="Date of Joining" attribute="1" defaultMemberUniqueName="[Range].[Date of Joining].[All]" allUniqueName="[Range].[Date of Joining].[All]" dimensionUniqueName="[Range]" displayFolder="" count="0" memberValueDatatype="130" unbalanced="0"/>
    <cacheHierarchy uniqueName="[Range].[Performance Rating]" caption="Performance Rating" attribute="1" defaultMemberUniqueName="[Range].[Performance Rating].[All]" allUniqueName="[Range].[Performance Rating].[All]" dimensionUniqueName="[Range]" displayFolder="" count="0" memberValueDatatype="5" unbalanced="0"/>
    <cacheHierarchy uniqueName="[Range].[Gender]" caption="Gender" attribute="1" defaultMemberUniqueName="[Range].[Gender].[All]" allUniqueName="[Range].[Gender].[All]" dimensionUniqueName="[Range]" displayFolder="" count="2" memberValueDatatype="130" unbalanced="0">
      <fieldsUsage count="2">
        <fieldUsage x="-1"/>
        <fieldUsage x="0"/>
      </fieldsUsage>
    </cacheHierarchy>
    <cacheHierarchy uniqueName="[Range 1].[Employee ID]" caption="Employee ID" attribute="1" defaultMemberUniqueName="[Range 1].[Employee ID].[All]" allUniqueName="[Range 1].[Employee ID].[All]" dimensionUniqueName="[Range 1]" displayFolder="" count="0" memberValueDatatype="130" unbalanced="0"/>
    <cacheHierarchy uniqueName="[Range 1].[Name]" caption="Name" attribute="1" defaultMemberUniqueName="[Range 1].[Name].[All]" allUniqueName="[Range 1].[Name].[All]" dimensionUniqueName="[Range 1]" displayFolder="" count="0" memberValueDatatype="130" unbalanced="0"/>
    <cacheHierarchy uniqueName="[Range 1].[Department]" caption="Department" attribute="1" defaultMemberUniqueName="[Range 1].[Department].[All]" allUniqueName="[Range 1].[Department].[All]" dimensionUniqueName="[Range 1]" displayFolder="" count="0" memberValueDatatype="130" unbalanced="0"/>
    <cacheHierarchy uniqueName="[Range 1].[Country]" caption="Country" attribute="1" defaultMemberUniqueName="[Range 1].[Country].[All]" allUniqueName="[Range 1].[Country].[All]" dimensionUniqueName="[Range 1]" displayFolder="" count="0" memberValueDatatype="130" unbalanced="0"/>
    <cacheHierarchy uniqueName="[Range 1].[Salary]" caption="Salary" attribute="1" defaultMemberUniqueName="[Range 1].[Salary].[All]" allUniqueName="[Range 1].[Salary].[All]" dimensionUniqueName="[Range 1]" displayFolder="" count="0" memberValueDatatype="5" unbalanced="0"/>
    <cacheHierarchy uniqueName="[Range 1].[Date of Joining]" caption="Date of Joining" attribute="1" defaultMemberUniqueName="[Range 1].[Date of Joining].[All]" allUniqueName="[Range 1].[Date of Joining].[All]" dimensionUniqueName="[Range 1]" displayFolder="" count="0" memberValueDatatype="130" unbalanced="0"/>
    <cacheHierarchy uniqueName="[Range 1].[Performance Rating]" caption="Performance Rating" attribute="1" defaultMemberUniqueName="[Range 1].[Performance Rating].[All]" allUniqueName="[Range 1].[Performance Rating].[All]" dimensionUniqueName="[Range 1]" displayFolder="" count="0" memberValueDatatype="5" unbalanced="0"/>
    <cacheHierarchy uniqueName="[Range 1].[Gender]" caption="Gender" attribute="1" defaultMemberUniqueName="[Range 1].[Gender].[All]" allUniqueName="[Range 1].[Gender].[All]" dimensionUniqueName="[Range 1]" displayFolder="" count="0" memberValueDatatype="130" unbalanced="0"/>
    <cacheHierarchy uniqueName="[Range 2].[Employee ID]" caption="Employee ID" attribute="1" defaultMemberUniqueName="[Range 2].[Employee ID].[All]" allUniqueName="[Range 2].[Employee ID].[All]" dimensionUniqueName="[Range 2]" displayFolder="" count="0" memberValueDatatype="130" unbalanced="0"/>
    <cacheHierarchy uniqueName="[Range 2].[Name]" caption="Name" attribute="1" defaultMemberUniqueName="[Range 2].[Name].[All]" allUniqueName="[Range 2].[Name].[All]" dimensionUniqueName="[Range 2]" displayFolder="" count="2" memberValueDatatype="130" unbalanced="0"/>
    <cacheHierarchy uniqueName="[Range 2].[Department]" caption="Department" attribute="1" defaultMemberUniqueName="[Range 2].[Department].[All]" allUniqueName="[Range 2].[Department].[All]" dimensionUniqueName="[Range 2]" displayFolder="" count="0" memberValueDatatype="130" unbalanced="0"/>
    <cacheHierarchy uniqueName="[Range 2].[Country]" caption="Country" attribute="1" defaultMemberUniqueName="[Range 2].[Country].[All]" allUniqueName="[Range 2].[Country].[All]" dimensionUniqueName="[Range 2]" displayFolder="" count="0" memberValueDatatype="130" unbalanced="0"/>
    <cacheHierarchy uniqueName="[Range 2].[Salary]" caption="Salary" attribute="1" defaultMemberUniqueName="[Range 2].[Salary].[All]" allUniqueName="[Range 2].[Salary].[All]" dimensionUniqueName="[Range 2]" displayFolder="" count="0" memberValueDatatype="5" unbalanced="0"/>
    <cacheHierarchy uniqueName="[Range 2].[Date of Joining]" caption="Date of Joining" attribute="1" defaultMemberUniqueName="[Range 2].[Date of Joining].[All]" allUniqueName="[Range 2].[Date of Joining].[All]" dimensionUniqueName="[Range 2]" displayFolder="" count="0" memberValueDatatype="130" unbalanced="0"/>
    <cacheHierarchy uniqueName="[Range 2].[Performance Rating]" caption="Performance Rating" attribute="1" defaultMemberUniqueName="[Range 2].[Performance Rating].[All]" allUniqueName="[Range 2].[Performance Rating].[All]" dimensionUniqueName="[Range 2]" displayFolder="" count="0" memberValueDatatype="5" unbalanced="0"/>
    <cacheHierarchy uniqueName="[Range 2].[Gender]" caption="Gender" attribute="1" defaultMemberUniqueName="[Range 2].[Gender].[All]" allUniqueName="[Range 2].[Gender].[All]" dimensionUniqueName="[Range 2]" displayFolder="" count="0" memberValueDatatype="130" unbalanced="0"/>
    <cacheHierarchy uniqueName="[Table117  Employee ID   Gender].[Employee ID]" caption="Employee ID" attribute="1" defaultMemberUniqueName="[Table117  Employee ID   Gender].[Employee ID].[All]" allUniqueName="[Table117  Employee ID   Gender].[Employee ID].[All]" dimensionUniqueName="[Table117  Employee ID   Gender]" displayFolder="" count="0" memberValueDatatype="130" unbalanced="0"/>
    <cacheHierarchy uniqueName="[Table117  Employee ID   Gender].[Name]" caption="Name" attribute="1" defaultMemberUniqueName="[Table117  Employee ID   Gender].[Name].[All]" allUniqueName="[Table117  Employee ID   Gender].[Name].[All]" dimensionUniqueName="[Table117  Employee ID   Gender]" displayFolder="" count="0" memberValueDatatype="130" unbalanced="0"/>
    <cacheHierarchy uniqueName="[Table117  Employee ID   Gender].[Department]" caption="Department" attribute="1" defaultMemberUniqueName="[Table117  Employee ID   Gender].[Department].[All]" allUniqueName="[Table117  Employee ID   Gender].[Department].[All]" dimensionUniqueName="[Table117  Employee ID   Gender]" displayFolder="" count="0" memberValueDatatype="130" unbalanced="0"/>
    <cacheHierarchy uniqueName="[Table117  Employee ID   Gender].[Country]" caption="Country" attribute="1" defaultMemberUniqueName="[Table117  Employee ID   Gender].[Country].[All]" allUniqueName="[Table117  Employee ID   Gender].[Country].[All]" dimensionUniqueName="[Table117  Employee ID   Gender]" displayFolder="" count="0" memberValueDatatype="130" unbalanced="0"/>
    <cacheHierarchy uniqueName="[Table117  Employee ID   Gender].[Salary]" caption="Salary" attribute="1" defaultMemberUniqueName="[Table117  Employee ID   Gender].[Salary].[All]" allUniqueName="[Table117  Employee ID   Gender].[Salary].[All]" dimensionUniqueName="[Table117  Employee ID   Gender]" displayFolder="" count="0" memberValueDatatype="5" unbalanced="0"/>
    <cacheHierarchy uniqueName="[Table117  Employee ID   Gender].[Date of Joining]" caption="Date of Joining" attribute="1" defaultMemberUniqueName="[Table117  Employee ID   Gender].[Date of Joining].[All]" allUniqueName="[Table117  Employee ID   Gender].[Date of Joining].[All]" dimensionUniqueName="[Table117  Employee ID   Gender]" displayFolder="" count="0" memberValueDatatype="130" unbalanced="0"/>
    <cacheHierarchy uniqueName="[Table117  Employee ID   Gender].[Joined Month]" caption="Joined Month" attribute="1" defaultMemberUniqueName="[Table117  Employee ID   Gender].[Joined Month].[All]" allUniqueName="[Table117  Employee ID   Gender].[Joined Month].[All]" dimensionUniqueName="[Table117  Employee ID   Gender]" displayFolder="" count="0" memberValueDatatype="130" unbalanced="0"/>
    <cacheHierarchy uniqueName="[Table117  Employee ID   Gender].[Performance Rating]" caption="Performance Rating" attribute="1" defaultMemberUniqueName="[Table117  Employee ID   Gender].[Performance Rating].[All]" allUniqueName="[Table117  Employee ID   Gender].[Performance Rating].[All]" dimensionUniqueName="[Table117  Employee ID   Gender]" displayFolder="" count="0" memberValueDatatype="5" unbalanced="0"/>
    <cacheHierarchy uniqueName="[Table117  Employee ID   Gender].[Gender]" caption="Gender" attribute="1" defaultMemberUniqueName="[Table117  Employee ID   Gender].[Gender].[All]" allUniqueName="[Table117  Employee ID   Gender].[Gender].[All]" dimensionUniqueName="[Table117  Employee ID   Gender]" displayFolder="" count="0" memberValueDatatype="130" unbalanced="0"/>
    <cacheHierarchy uniqueName="[Measures].[__XL_Count Range]" caption="__XL_Count Range" measure="1" displayFolder="" measureGroup="Range" count="0" hidden="1"/>
    <cacheHierarchy uniqueName="[Measures].[__XL_Count Table117  Employee ID   Gender]" caption="__XL_Count Table117  Employee ID   Gender" measure="1" displayFolder="" measureGroup="Table117  Employee ID   Gender"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No measures defined]" caption="__No measures defined" measure="1" displayFolder="" count="0" hidden="1"/>
    <cacheHierarchy uniqueName="[Measures].[Sum of Performance Rating]" caption="Sum of Performance Rating" measure="1" displayFolder="" measureGroup="Range" count="0" hidden="1">
      <extLst>
        <ext xmlns:x15="http://schemas.microsoft.com/office/spreadsheetml/2010/11/main" uri="{B97F6D7D-B522-45F9-BDA1-12C45D357490}">
          <x15:cacheHierarchy aggregatedColumn="6"/>
        </ext>
      </extLst>
    </cacheHierarchy>
    <cacheHierarchy uniqueName="[Measures].[Max of Performance Rating]" caption="Max of Performance Rating" measure="1" displayFolder="" measureGroup="Range" count="0" hidden="1">
      <extLst>
        <ext xmlns:x15="http://schemas.microsoft.com/office/spreadsheetml/2010/11/main" uri="{B97F6D7D-B522-45F9-BDA1-12C45D357490}">
          <x15:cacheHierarchy aggregatedColumn="6"/>
        </ext>
      </extLst>
    </cacheHierarchy>
    <cacheHierarchy uniqueName="[Measures].[Sum of Salary]" caption="Sum of Salary" measure="1" displayFolder="" measureGroup="Range" count="0" hidden="1">
      <extLst>
        <ext xmlns:x15="http://schemas.microsoft.com/office/spreadsheetml/2010/11/main" uri="{B97F6D7D-B522-45F9-BDA1-12C45D357490}">
          <x15:cacheHierarchy aggregatedColumn="4"/>
        </ext>
      </extLst>
    </cacheHierarchy>
    <cacheHierarchy uniqueName="[Measures].[Average of Salary]" caption="Average of Salary" measure="1" displayFolder="" measureGroup="Range" count="0" hidden="1">
      <extLst>
        <ext xmlns:x15="http://schemas.microsoft.com/office/spreadsheetml/2010/11/main" uri="{B97F6D7D-B522-45F9-BDA1-12C45D357490}">
          <x15:cacheHierarchy aggregatedColumn="4"/>
        </ext>
      </extLst>
    </cacheHierarchy>
    <cacheHierarchy uniqueName="[Measures].[Count of Joined Month]" caption="Count of Joined Month" measure="1" displayFolder="" measureGroup="Table117  Employee ID   Gender" count="0" hidden="1">
      <extLst>
        <ext xmlns:x15="http://schemas.microsoft.com/office/spreadsheetml/2010/11/main" uri="{B97F6D7D-B522-45F9-BDA1-12C45D357490}">
          <x15:cacheHierarchy aggregatedColumn="30"/>
        </ext>
      </extLst>
    </cacheHierarchy>
    <cacheHierarchy uniqueName="[Measures].[Sum of Salary 2]" caption="Sum of Salary 2" measure="1" displayFolder="" measureGroup="Table117  Employee ID   Gender" count="0" hidden="1">
      <extLst>
        <ext xmlns:x15="http://schemas.microsoft.com/office/spreadsheetml/2010/11/main" uri="{B97F6D7D-B522-45F9-BDA1-12C45D357490}">
          <x15:cacheHierarchy aggregatedColumn="28"/>
        </ext>
      </extLst>
    </cacheHierarchy>
    <cacheHierarchy uniqueName="[Measures].[Min of Salary]" caption="Min of Salary" measure="1" displayFolder="" measureGroup="Table117  Employee ID   Gender" count="0" hidden="1">
      <extLst>
        <ext xmlns:x15="http://schemas.microsoft.com/office/spreadsheetml/2010/11/main" uri="{B97F6D7D-B522-45F9-BDA1-12C45D357490}">
          <x15:cacheHierarchy aggregatedColumn="28"/>
        </ext>
      </extLst>
    </cacheHierarchy>
    <cacheHierarchy uniqueName="[Measures].[Sum of Salary 3]" caption="Sum of Salary 3" measure="1" displayFolder="" measureGroup="Range 1" count="0" hidden="1">
      <extLst>
        <ext xmlns:x15="http://schemas.microsoft.com/office/spreadsheetml/2010/11/main" uri="{B97F6D7D-B522-45F9-BDA1-12C45D357490}">
          <x15:cacheHierarchy aggregatedColumn="12"/>
        </ext>
      </extLst>
    </cacheHierarchy>
    <cacheHierarchy uniqueName="[Measures].[Count of Name]" caption="Count of Name" measure="1" displayFolder="" measureGroup="Range 1" count="0" hidden="1">
      <extLst>
        <ext xmlns:x15="http://schemas.microsoft.com/office/spreadsheetml/2010/11/main" uri="{B97F6D7D-B522-45F9-BDA1-12C45D357490}">
          <x15:cacheHierarchy aggregatedColumn="9"/>
        </ext>
      </extLst>
    </cacheHierarchy>
    <cacheHierarchy uniqueName="[Measures].[Count of Employee ID]" caption="Count of Employee ID" measure="1" displayFolder="" measureGroup="Range 2" count="0" hidden="1">
      <extLst>
        <ext xmlns:x15="http://schemas.microsoft.com/office/spreadsheetml/2010/11/main" uri="{B97F6D7D-B522-45F9-BDA1-12C45D357490}">
          <x15:cacheHierarchy aggregatedColumn="16"/>
        </ext>
      </extLst>
    </cacheHierarchy>
    <cacheHierarchy uniqueName="[Measures].[Sum of Salary 4]" caption="Sum of Salary 4" measure="1" displayFolder="" measureGroup="Range 2" count="0" hidden="1">
      <extLst>
        <ext xmlns:x15="http://schemas.microsoft.com/office/spreadsheetml/2010/11/main" uri="{B97F6D7D-B522-45F9-BDA1-12C45D357490}">
          <x15:cacheHierarchy aggregatedColumn="20"/>
        </ext>
      </extLst>
    </cacheHierarchy>
    <cacheHierarchy uniqueName="[Measures].[Average of Salary 2]" caption="Average of Salary 2" measure="1" displayFolder="" measureGroup="Range 2" count="0" hidden="1">
      <extLst>
        <ext xmlns:x15="http://schemas.microsoft.com/office/spreadsheetml/2010/11/main" uri="{B97F6D7D-B522-45F9-BDA1-12C45D357490}">
          <x15:cacheHierarchy aggregatedColumn="20"/>
        </ext>
      </extLst>
    </cacheHierarchy>
    <cacheHierarchy uniqueName="[Measures].[Count of Employee ID 2]" caption="Count of Employee ID 2" measure="1" displayFolder="" measureGroup="Range"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Department]" caption="Count of Department" measure="1" displayFolder="" measureGroup="Range" count="0" hidden="1">
      <extLst>
        <ext xmlns:x15="http://schemas.microsoft.com/office/spreadsheetml/2010/11/main" uri="{B97F6D7D-B522-45F9-BDA1-12C45D357490}">
          <x15:cacheHierarchy aggregatedColumn="2"/>
        </ext>
      </extLst>
    </cacheHierarchy>
  </cacheHierarchies>
  <kpis count="0"/>
  <dimensions count="5">
    <dimension measure="1" name="Measures" uniqueName="[Measures]" caption="Measures"/>
    <dimension name="Range" uniqueName="[Range]" caption="Range"/>
    <dimension name="Range 1" uniqueName="[Range 1]" caption="Range 1"/>
    <dimension name="Range 2" uniqueName="[Range 2]" caption="Range 2"/>
    <dimension name="Table117  Employee ID   Gender" uniqueName="[Table117  Employee ID   Gender]" caption="Table117  Employee ID   Gender"/>
  </dimensions>
  <measureGroups count="4">
    <measureGroup name="Range" caption="Range"/>
    <measureGroup name="Range 1" caption="Range 1"/>
    <measureGroup name="Range 2" caption="Range 2"/>
    <measureGroup name="Table117  Employee ID   Gender" caption="Table117  Employee ID   Gender"/>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ishna" refreshedDate="45978.389193518517" backgroundQuery="1" createdVersion="8" refreshedVersion="8" minRefreshableVersion="3" recordCount="0" supportSubquery="1" supportAdvancedDrill="1" xr:uid="{A2066FC8-3BD2-4996-A059-5C9E959DC00B}">
  <cacheSource type="external" connectionId="2"/>
  <cacheFields count="3">
    <cacheField name="[Range].[Country].[Country]" caption="Country" numFmtId="0" hierarchy="3" level="1">
      <sharedItems count="6">
        <s v="Australia"/>
        <s v="Germany"/>
        <s v="India"/>
        <s v="UK"/>
        <s v="Unknown"/>
        <s v="USA"/>
      </sharedItems>
    </cacheField>
    <cacheField name="[Measures].[Count of Employee ID 2]" caption="Count of Employee ID 2" numFmtId="0" hierarchy="50" level="32767"/>
    <cacheField name="[Range].[Employee ID].[Employee ID]" caption="Employee ID" numFmtId="0" level="1">
      <sharedItems containsSemiMixedTypes="0" containsNonDate="0" containsString="0"/>
    </cacheField>
  </cacheFields>
  <cacheHierarchies count="52">
    <cacheHierarchy uniqueName="[Range].[Employee ID]" caption="Employee ID" attribute="1" defaultMemberUniqueName="[Range].[Employee ID].[All]" allUniqueName="[Range].[Employee ID].[All]" dimensionUniqueName="[Range]" displayFolder="" count="2" memberValueDatatype="130" unbalanced="0">
      <fieldsUsage count="2">
        <fieldUsage x="-1"/>
        <fieldUsage x="2"/>
      </fieldsUsage>
    </cacheHierarchy>
    <cacheHierarchy uniqueName="[Range].[Name]" caption="Name" attribute="1" defaultMemberUniqueName="[Range].[Name].[All]" allUniqueName="[Range].[Name].[All]" dimensionUniqueName="[Range]" displayFolder="" count="0" memberValueDatatype="130" unbalanced="0"/>
    <cacheHierarchy uniqueName="[Range].[Department]" caption="Department" attribute="1" defaultMemberUniqueName="[Range].[Department].[All]" allUniqueName="[Range].[Department].[All]" dimensionUniqueName="[Range]" displayFolder="" count="2" memberValueDatatype="130" unbalanced="0"/>
    <cacheHierarchy uniqueName="[Range].[Country]" caption="Country" attribute="1" defaultMemberUniqueName="[Range].[Country].[All]" allUniqueName="[Range].[Country].[All]" dimensionUniqueName="[Range]" displayFolder="" count="2" memberValueDatatype="130" unbalanced="0">
      <fieldsUsage count="2">
        <fieldUsage x="-1"/>
        <fieldUsage x="0"/>
      </fieldsUsage>
    </cacheHierarchy>
    <cacheHierarchy uniqueName="[Range].[Salary]" caption="Salary" attribute="1" defaultMemberUniqueName="[Range].[Salary].[All]" allUniqueName="[Range].[Salary].[All]" dimensionUniqueName="[Range]" displayFolder="" count="0" memberValueDatatype="5" unbalanced="0"/>
    <cacheHierarchy uniqueName="[Range].[Date of Joining]" caption="Date of Joining" attribute="1" defaultMemberUniqueName="[Range].[Date of Joining].[All]" allUniqueName="[Range].[Date of Joining].[All]" dimensionUniqueName="[Range]" displayFolder="" count="0" memberValueDatatype="130" unbalanced="0"/>
    <cacheHierarchy uniqueName="[Range].[Performance Rating]" caption="Performance Rating" attribute="1" defaultMemberUniqueName="[Range].[Performance Rating].[All]" allUniqueName="[Range].[Performance Rating].[All]" dimensionUniqueName="[Range]" displayFolder="" count="0" memberValueDatatype="5" unbalanced="0"/>
    <cacheHierarchy uniqueName="[Range].[Gender]" caption="Gender" attribute="1" defaultMemberUniqueName="[Range].[Gender].[All]" allUniqueName="[Range].[Gender].[All]" dimensionUniqueName="[Range]" displayFolder="" count="0" memberValueDatatype="130" unbalanced="0"/>
    <cacheHierarchy uniqueName="[Range 1].[Employee ID]" caption="Employee ID" attribute="1" defaultMemberUniqueName="[Range 1].[Employee ID].[All]" allUniqueName="[Range 1].[Employee ID].[All]" dimensionUniqueName="[Range 1]" displayFolder="" count="0" memberValueDatatype="130" unbalanced="0"/>
    <cacheHierarchy uniqueName="[Range 1].[Name]" caption="Name" attribute="1" defaultMemberUniqueName="[Range 1].[Name].[All]" allUniqueName="[Range 1].[Name].[All]" dimensionUniqueName="[Range 1]" displayFolder="" count="0" memberValueDatatype="130" unbalanced="0"/>
    <cacheHierarchy uniqueName="[Range 1].[Department]" caption="Department" attribute="1" defaultMemberUniqueName="[Range 1].[Department].[All]" allUniqueName="[Range 1].[Department].[All]" dimensionUniqueName="[Range 1]" displayFolder="" count="0" memberValueDatatype="130" unbalanced="0"/>
    <cacheHierarchy uniqueName="[Range 1].[Country]" caption="Country" attribute="1" defaultMemberUniqueName="[Range 1].[Country].[All]" allUniqueName="[Range 1].[Country].[All]" dimensionUniqueName="[Range 1]" displayFolder="" count="0" memberValueDatatype="130" unbalanced="0"/>
    <cacheHierarchy uniqueName="[Range 1].[Salary]" caption="Salary" attribute="1" defaultMemberUniqueName="[Range 1].[Salary].[All]" allUniqueName="[Range 1].[Salary].[All]" dimensionUniqueName="[Range 1]" displayFolder="" count="0" memberValueDatatype="5" unbalanced="0"/>
    <cacheHierarchy uniqueName="[Range 1].[Date of Joining]" caption="Date of Joining" attribute="1" defaultMemberUniqueName="[Range 1].[Date of Joining].[All]" allUniqueName="[Range 1].[Date of Joining].[All]" dimensionUniqueName="[Range 1]" displayFolder="" count="0" memberValueDatatype="130" unbalanced="0"/>
    <cacheHierarchy uniqueName="[Range 1].[Performance Rating]" caption="Performance Rating" attribute="1" defaultMemberUniqueName="[Range 1].[Performance Rating].[All]" allUniqueName="[Range 1].[Performance Rating].[All]" dimensionUniqueName="[Range 1]" displayFolder="" count="0" memberValueDatatype="5" unbalanced="0"/>
    <cacheHierarchy uniqueName="[Range 1].[Gender]" caption="Gender" attribute="1" defaultMemberUniqueName="[Range 1].[Gender].[All]" allUniqueName="[Range 1].[Gender].[All]" dimensionUniqueName="[Range 1]" displayFolder="" count="0" memberValueDatatype="130" unbalanced="0"/>
    <cacheHierarchy uniqueName="[Range 2].[Employee ID]" caption="Employee ID" attribute="1" defaultMemberUniqueName="[Range 2].[Employee ID].[All]" allUniqueName="[Range 2].[Employee ID].[All]" dimensionUniqueName="[Range 2]" displayFolder="" count="0" memberValueDatatype="130" unbalanced="0"/>
    <cacheHierarchy uniqueName="[Range 2].[Name]" caption="Name" attribute="1" defaultMemberUniqueName="[Range 2].[Name].[All]" allUniqueName="[Range 2].[Name].[All]" dimensionUniqueName="[Range 2]" displayFolder="" count="2" memberValueDatatype="130" unbalanced="0"/>
    <cacheHierarchy uniqueName="[Range 2].[Department]" caption="Department" attribute="1" defaultMemberUniqueName="[Range 2].[Department].[All]" allUniqueName="[Range 2].[Department].[All]" dimensionUniqueName="[Range 2]" displayFolder="" count="0" memberValueDatatype="130" unbalanced="0"/>
    <cacheHierarchy uniqueName="[Range 2].[Country]" caption="Country" attribute="1" defaultMemberUniqueName="[Range 2].[Country].[All]" allUniqueName="[Range 2].[Country].[All]" dimensionUniqueName="[Range 2]" displayFolder="" count="0" memberValueDatatype="130" unbalanced="0"/>
    <cacheHierarchy uniqueName="[Range 2].[Salary]" caption="Salary" attribute="1" defaultMemberUniqueName="[Range 2].[Salary].[All]" allUniqueName="[Range 2].[Salary].[All]" dimensionUniqueName="[Range 2]" displayFolder="" count="0" memberValueDatatype="5" unbalanced="0"/>
    <cacheHierarchy uniqueName="[Range 2].[Date of Joining]" caption="Date of Joining" attribute="1" defaultMemberUniqueName="[Range 2].[Date of Joining].[All]" allUniqueName="[Range 2].[Date of Joining].[All]" dimensionUniqueName="[Range 2]" displayFolder="" count="0" memberValueDatatype="130" unbalanced="0"/>
    <cacheHierarchy uniqueName="[Range 2].[Performance Rating]" caption="Performance Rating" attribute="1" defaultMemberUniqueName="[Range 2].[Performance Rating].[All]" allUniqueName="[Range 2].[Performance Rating].[All]" dimensionUniqueName="[Range 2]" displayFolder="" count="0" memberValueDatatype="5" unbalanced="0"/>
    <cacheHierarchy uniqueName="[Range 2].[Gender]" caption="Gender" attribute="1" defaultMemberUniqueName="[Range 2].[Gender].[All]" allUniqueName="[Range 2].[Gender].[All]" dimensionUniqueName="[Range 2]" displayFolder="" count="0" memberValueDatatype="130" unbalanced="0"/>
    <cacheHierarchy uniqueName="[Table117  Employee ID   Gender].[Employee ID]" caption="Employee ID" attribute="1" defaultMemberUniqueName="[Table117  Employee ID   Gender].[Employee ID].[All]" allUniqueName="[Table117  Employee ID   Gender].[Employee ID].[All]" dimensionUniqueName="[Table117  Employee ID   Gender]" displayFolder="" count="0" memberValueDatatype="130" unbalanced="0"/>
    <cacheHierarchy uniqueName="[Table117  Employee ID   Gender].[Name]" caption="Name" attribute="1" defaultMemberUniqueName="[Table117  Employee ID   Gender].[Name].[All]" allUniqueName="[Table117  Employee ID   Gender].[Name].[All]" dimensionUniqueName="[Table117  Employee ID   Gender]" displayFolder="" count="0" memberValueDatatype="130" unbalanced="0"/>
    <cacheHierarchy uniqueName="[Table117  Employee ID   Gender].[Department]" caption="Department" attribute="1" defaultMemberUniqueName="[Table117  Employee ID   Gender].[Department].[All]" allUniqueName="[Table117  Employee ID   Gender].[Department].[All]" dimensionUniqueName="[Table117  Employee ID   Gender]" displayFolder="" count="0" memberValueDatatype="130" unbalanced="0"/>
    <cacheHierarchy uniqueName="[Table117  Employee ID   Gender].[Country]" caption="Country" attribute="1" defaultMemberUniqueName="[Table117  Employee ID   Gender].[Country].[All]" allUniqueName="[Table117  Employee ID   Gender].[Country].[All]" dimensionUniqueName="[Table117  Employee ID   Gender]" displayFolder="" count="0" memberValueDatatype="130" unbalanced="0"/>
    <cacheHierarchy uniqueName="[Table117  Employee ID   Gender].[Salary]" caption="Salary" attribute="1" defaultMemberUniqueName="[Table117  Employee ID   Gender].[Salary].[All]" allUniqueName="[Table117  Employee ID   Gender].[Salary].[All]" dimensionUniqueName="[Table117  Employee ID   Gender]" displayFolder="" count="0" memberValueDatatype="5" unbalanced="0"/>
    <cacheHierarchy uniqueName="[Table117  Employee ID   Gender].[Date of Joining]" caption="Date of Joining" attribute="1" defaultMemberUniqueName="[Table117  Employee ID   Gender].[Date of Joining].[All]" allUniqueName="[Table117  Employee ID   Gender].[Date of Joining].[All]" dimensionUniqueName="[Table117  Employee ID   Gender]" displayFolder="" count="0" memberValueDatatype="130" unbalanced="0"/>
    <cacheHierarchy uniqueName="[Table117  Employee ID   Gender].[Joined Month]" caption="Joined Month" attribute="1" defaultMemberUniqueName="[Table117  Employee ID   Gender].[Joined Month].[All]" allUniqueName="[Table117  Employee ID   Gender].[Joined Month].[All]" dimensionUniqueName="[Table117  Employee ID   Gender]" displayFolder="" count="0" memberValueDatatype="130" unbalanced="0"/>
    <cacheHierarchy uniqueName="[Table117  Employee ID   Gender].[Performance Rating]" caption="Performance Rating" attribute="1" defaultMemberUniqueName="[Table117  Employee ID   Gender].[Performance Rating].[All]" allUniqueName="[Table117  Employee ID   Gender].[Performance Rating].[All]" dimensionUniqueName="[Table117  Employee ID   Gender]" displayFolder="" count="0" memberValueDatatype="5" unbalanced="0"/>
    <cacheHierarchy uniqueName="[Table117  Employee ID   Gender].[Gender]" caption="Gender" attribute="1" defaultMemberUniqueName="[Table117  Employee ID   Gender].[Gender].[All]" allUniqueName="[Table117  Employee ID   Gender].[Gender].[All]" dimensionUniqueName="[Table117  Employee ID   Gender]" displayFolder="" count="0" memberValueDatatype="130" unbalanced="0"/>
    <cacheHierarchy uniqueName="[Measures].[__XL_Count Range]" caption="__XL_Count Range" measure="1" displayFolder="" measureGroup="Range" count="0" hidden="1"/>
    <cacheHierarchy uniqueName="[Measures].[__XL_Count Table117  Employee ID   Gender]" caption="__XL_Count Table117  Employee ID   Gender" measure="1" displayFolder="" measureGroup="Table117  Employee ID   Gender"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No measures defined]" caption="__No measures defined" measure="1" displayFolder="" count="0" hidden="1"/>
    <cacheHierarchy uniqueName="[Measures].[Sum of Performance Rating]" caption="Sum of Performance Rating" measure="1" displayFolder="" measureGroup="Range" count="0" hidden="1">
      <extLst>
        <ext xmlns:x15="http://schemas.microsoft.com/office/spreadsheetml/2010/11/main" uri="{B97F6D7D-B522-45F9-BDA1-12C45D357490}">
          <x15:cacheHierarchy aggregatedColumn="6"/>
        </ext>
      </extLst>
    </cacheHierarchy>
    <cacheHierarchy uniqueName="[Measures].[Max of Performance Rating]" caption="Max of Performance Rating" measure="1" displayFolder="" measureGroup="Range" count="0" hidden="1">
      <extLst>
        <ext xmlns:x15="http://schemas.microsoft.com/office/spreadsheetml/2010/11/main" uri="{B97F6D7D-B522-45F9-BDA1-12C45D357490}">
          <x15:cacheHierarchy aggregatedColumn="6"/>
        </ext>
      </extLst>
    </cacheHierarchy>
    <cacheHierarchy uniqueName="[Measures].[Sum of Salary]" caption="Sum of Salary" measure="1" displayFolder="" measureGroup="Range" count="0" hidden="1">
      <extLst>
        <ext xmlns:x15="http://schemas.microsoft.com/office/spreadsheetml/2010/11/main" uri="{B97F6D7D-B522-45F9-BDA1-12C45D357490}">
          <x15:cacheHierarchy aggregatedColumn="4"/>
        </ext>
      </extLst>
    </cacheHierarchy>
    <cacheHierarchy uniqueName="[Measures].[Average of Salary]" caption="Average of Salary" measure="1" displayFolder="" measureGroup="Range" count="0" hidden="1">
      <extLst>
        <ext xmlns:x15="http://schemas.microsoft.com/office/spreadsheetml/2010/11/main" uri="{B97F6D7D-B522-45F9-BDA1-12C45D357490}">
          <x15:cacheHierarchy aggregatedColumn="4"/>
        </ext>
      </extLst>
    </cacheHierarchy>
    <cacheHierarchy uniqueName="[Measures].[Count of Joined Month]" caption="Count of Joined Month" measure="1" displayFolder="" measureGroup="Table117  Employee ID   Gender" count="0" hidden="1">
      <extLst>
        <ext xmlns:x15="http://schemas.microsoft.com/office/spreadsheetml/2010/11/main" uri="{B97F6D7D-B522-45F9-BDA1-12C45D357490}">
          <x15:cacheHierarchy aggregatedColumn="30"/>
        </ext>
      </extLst>
    </cacheHierarchy>
    <cacheHierarchy uniqueName="[Measures].[Sum of Salary 2]" caption="Sum of Salary 2" measure="1" displayFolder="" measureGroup="Table117  Employee ID   Gender" count="0" hidden="1">
      <extLst>
        <ext xmlns:x15="http://schemas.microsoft.com/office/spreadsheetml/2010/11/main" uri="{B97F6D7D-B522-45F9-BDA1-12C45D357490}">
          <x15:cacheHierarchy aggregatedColumn="28"/>
        </ext>
      </extLst>
    </cacheHierarchy>
    <cacheHierarchy uniqueName="[Measures].[Min of Salary]" caption="Min of Salary" measure="1" displayFolder="" measureGroup="Table117  Employee ID   Gender" count="0" hidden="1">
      <extLst>
        <ext xmlns:x15="http://schemas.microsoft.com/office/spreadsheetml/2010/11/main" uri="{B97F6D7D-B522-45F9-BDA1-12C45D357490}">
          <x15:cacheHierarchy aggregatedColumn="28"/>
        </ext>
      </extLst>
    </cacheHierarchy>
    <cacheHierarchy uniqueName="[Measures].[Sum of Salary 3]" caption="Sum of Salary 3" measure="1" displayFolder="" measureGroup="Range 1" count="0" hidden="1">
      <extLst>
        <ext xmlns:x15="http://schemas.microsoft.com/office/spreadsheetml/2010/11/main" uri="{B97F6D7D-B522-45F9-BDA1-12C45D357490}">
          <x15:cacheHierarchy aggregatedColumn="12"/>
        </ext>
      </extLst>
    </cacheHierarchy>
    <cacheHierarchy uniqueName="[Measures].[Count of Name]" caption="Count of Name" measure="1" displayFolder="" measureGroup="Range 1" count="0" hidden="1">
      <extLst>
        <ext xmlns:x15="http://schemas.microsoft.com/office/spreadsheetml/2010/11/main" uri="{B97F6D7D-B522-45F9-BDA1-12C45D357490}">
          <x15:cacheHierarchy aggregatedColumn="9"/>
        </ext>
      </extLst>
    </cacheHierarchy>
    <cacheHierarchy uniqueName="[Measures].[Count of Employee ID]" caption="Count of Employee ID" measure="1" displayFolder="" measureGroup="Range 2" count="0" hidden="1">
      <extLst>
        <ext xmlns:x15="http://schemas.microsoft.com/office/spreadsheetml/2010/11/main" uri="{B97F6D7D-B522-45F9-BDA1-12C45D357490}">
          <x15:cacheHierarchy aggregatedColumn="16"/>
        </ext>
      </extLst>
    </cacheHierarchy>
    <cacheHierarchy uniqueName="[Measures].[Sum of Salary 4]" caption="Sum of Salary 4" measure="1" displayFolder="" measureGroup="Range 2" count="0" hidden="1">
      <extLst>
        <ext xmlns:x15="http://schemas.microsoft.com/office/spreadsheetml/2010/11/main" uri="{B97F6D7D-B522-45F9-BDA1-12C45D357490}">
          <x15:cacheHierarchy aggregatedColumn="20"/>
        </ext>
      </extLst>
    </cacheHierarchy>
    <cacheHierarchy uniqueName="[Measures].[Average of Salary 2]" caption="Average of Salary 2" measure="1" displayFolder="" measureGroup="Range 2" count="0" hidden="1">
      <extLst>
        <ext xmlns:x15="http://schemas.microsoft.com/office/spreadsheetml/2010/11/main" uri="{B97F6D7D-B522-45F9-BDA1-12C45D357490}">
          <x15:cacheHierarchy aggregatedColumn="20"/>
        </ext>
      </extLst>
    </cacheHierarchy>
    <cacheHierarchy uniqueName="[Measures].[Count of Employee ID 2]" caption="Count of Employee ID 2" measure="1" displayFolder="" measureGroup="Range"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Department]" caption="Count of Department" measure="1" displayFolder="" measureGroup="Range" count="0" hidden="1">
      <extLst>
        <ext xmlns:x15="http://schemas.microsoft.com/office/spreadsheetml/2010/11/main" uri="{B97F6D7D-B522-45F9-BDA1-12C45D357490}">
          <x15:cacheHierarchy aggregatedColumn="2"/>
        </ext>
      </extLst>
    </cacheHierarchy>
  </cacheHierarchies>
  <kpis count="0"/>
  <dimensions count="5">
    <dimension measure="1" name="Measures" uniqueName="[Measures]" caption="Measures"/>
    <dimension name="Range" uniqueName="[Range]" caption="Range"/>
    <dimension name="Range 1" uniqueName="[Range 1]" caption="Range 1"/>
    <dimension name="Range 2" uniqueName="[Range 2]" caption="Range 2"/>
    <dimension name="Table117  Employee ID   Gender" uniqueName="[Table117  Employee ID   Gender]" caption="Table117  Employee ID   Gender"/>
  </dimensions>
  <measureGroups count="4">
    <measureGroup name="Range" caption="Range"/>
    <measureGroup name="Range 1" caption="Range 1"/>
    <measureGroup name="Range 2" caption="Range 2"/>
    <measureGroup name="Table117  Employee ID   Gender" caption="Table117  Employee ID   Gender"/>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ishna" refreshedDate="45978.389196180557" backgroundQuery="1" createdVersion="8" refreshedVersion="8" minRefreshableVersion="3" recordCount="0" supportSubquery="1" supportAdvancedDrill="1" xr:uid="{D91B5C75-15D3-444C-98A9-A4F664B78A9F}">
  <cacheSource type="external" connectionId="2"/>
  <cacheFields count="3">
    <cacheField name="[Range].[Gender].[Gender]" caption="Gender" numFmtId="0" hierarchy="7" level="1">
      <sharedItems count="4">
        <s v="Female"/>
        <s v="Male"/>
        <s v="Other"/>
        <s v="Unknown"/>
      </sharedItems>
    </cacheField>
    <cacheField name="[Measures].[Count of Employee ID 2]" caption="Count of Employee ID 2" numFmtId="0" hierarchy="50" level="32767"/>
    <cacheField name="[Range].[Employee ID].[Employee ID]" caption="Employee ID" numFmtId="0" level="1">
      <sharedItems containsSemiMixedTypes="0" containsNonDate="0" containsString="0"/>
    </cacheField>
  </cacheFields>
  <cacheHierarchies count="52">
    <cacheHierarchy uniqueName="[Range].[Employee ID]" caption="Employee ID" attribute="1" defaultMemberUniqueName="[Range].[Employee ID].[All]" allUniqueName="[Range].[Employee ID].[All]" dimensionUniqueName="[Range]" displayFolder="" count="2" memberValueDatatype="130" unbalanced="0">
      <fieldsUsage count="2">
        <fieldUsage x="-1"/>
        <fieldUsage x="2"/>
      </fieldsUsage>
    </cacheHierarchy>
    <cacheHierarchy uniqueName="[Range].[Name]" caption="Name" attribute="1" defaultMemberUniqueName="[Range].[Name].[All]" allUniqueName="[Range].[Name].[All]" dimensionUniqueName="[Range]" displayFolder="" count="0" memberValueDatatype="130" unbalanced="0"/>
    <cacheHierarchy uniqueName="[Range].[Department]" caption="Department" attribute="1" defaultMemberUniqueName="[Range].[Department].[All]" allUniqueName="[Range].[Department].[All]" dimensionUniqueName="[Range]" displayFolder="" count="2" memberValueDatatype="130" unbalanced="0"/>
    <cacheHierarchy uniqueName="[Range].[Country]" caption="Country" attribute="1" defaultMemberUniqueName="[Range].[Country].[All]" allUniqueName="[Range].[Country].[All]" dimensionUniqueName="[Range]" displayFolder="" count="0" memberValueDatatype="130" unbalanced="0"/>
    <cacheHierarchy uniqueName="[Range].[Salary]" caption="Salary" attribute="1" defaultMemberUniqueName="[Range].[Salary].[All]" allUniqueName="[Range].[Salary].[All]" dimensionUniqueName="[Range]" displayFolder="" count="0" memberValueDatatype="5" unbalanced="0"/>
    <cacheHierarchy uniqueName="[Range].[Date of Joining]" caption="Date of Joining" attribute="1" defaultMemberUniqueName="[Range].[Date of Joining].[All]" allUniqueName="[Range].[Date of Joining].[All]" dimensionUniqueName="[Range]" displayFolder="" count="0" memberValueDatatype="130" unbalanced="0"/>
    <cacheHierarchy uniqueName="[Range].[Performance Rating]" caption="Performance Rating" attribute="1" defaultMemberUniqueName="[Range].[Performance Rating].[All]" allUniqueName="[Range].[Performance Rating].[All]" dimensionUniqueName="[Range]" displayFolder="" count="0" memberValueDatatype="5" unbalanced="0"/>
    <cacheHierarchy uniqueName="[Range].[Gender]" caption="Gender" attribute="1" defaultMemberUniqueName="[Range].[Gender].[All]" allUniqueName="[Range].[Gender].[All]" dimensionUniqueName="[Range]" displayFolder="" count="2" memberValueDatatype="130" unbalanced="0">
      <fieldsUsage count="2">
        <fieldUsage x="-1"/>
        <fieldUsage x="0"/>
      </fieldsUsage>
    </cacheHierarchy>
    <cacheHierarchy uniqueName="[Range 1].[Employee ID]" caption="Employee ID" attribute="1" defaultMemberUniqueName="[Range 1].[Employee ID].[All]" allUniqueName="[Range 1].[Employee ID].[All]" dimensionUniqueName="[Range 1]" displayFolder="" count="0" memberValueDatatype="130" unbalanced="0"/>
    <cacheHierarchy uniqueName="[Range 1].[Name]" caption="Name" attribute="1" defaultMemberUniqueName="[Range 1].[Name].[All]" allUniqueName="[Range 1].[Name].[All]" dimensionUniqueName="[Range 1]" displayFolder="" count="0" memberValueDatatype="130" unbalanced="0"/>
    <cacheHierarchy uniqueName="[Range 1].[Department]" caption="Department" attribute="1" defaultMemberUniqueName="[Range 1].[Department].[All]" allUniqueName="[Range 1].[Department].[All]" dimensionUniqueName="[Range 1]" displayFolder="" count="0" memberValueDatatype="130" unbalanced="0"/>
    <cacheHierarchy uniqueName="[Range 1].[Country]" caption="Country" attribute="1" defaultMemberUniqueName="[Range 1].[Country].[All]" allUniqueName="[Range 1].[Country].[All]" dimensionUniqueName="[Range 1]" displayFolder="" count="0" memberValueDatatype="130" unbalanced="0"/>
    <cacheHierarchy uniqueName="[Range 1].[Salary]" caption="Salary" attribute="1" defaultMemberUniqueName="[Range 1].[Salary].[All]" allUniqueName="[Range 1].[Salary].[All]" dimensionUniqueName="[Range 1]" displayFolder="" count="0" memberValueDatatype="5" unbalanced="0"/>
    <cacheHierarchy uniqueName="[Range 1].[Date of Joining]" caption="Date of Joining" attribute="1" defaultMemberUniqueName="[Range 1].[Date of Joining].[All]" allUniqueName="[Range 1].[Date of Joining].[All]" dimensionUniqueName="[Range 1]" displayFolder="" count="0" memberValueDatatype="130" unbalanced="0"/>
    <cacheHierarchy uniqueName="[Range 1].[Performance Rating]" caption="Performance Rating" attribute="1" defaultMemberUniqueName="[Range 1].[Performance Rating].[All]" allUniqueName="[Range 1].[Performance Rating].[All]" dimensionUniqueName="[Range 1]" displayFolder="" count="0" memberValueDatatype="5" unbalanced="0"/>
    <cacheHierarchy uniqueName="[Range 1].[Gender]" caption="Gender" attribute="1" defaultMemberUniqueName="[Range 1].[Gender].[All]" allUniqueName="[Range 1].[Gender].[All]" dimensionUniqueName="[Range 1]" displayFolder="" count="0" memberValueDatatype="130" unbalanced="0"/>
    <cacheHierarchy uniqueName="[Range 2].[Employee ID]" caption="Employee ID" attribute="1" defaultMemberUniqueName="[Range 2].[Employee ID].[All]" allUniqueName="[Range 2].[Employee ID].[All]" dimensionUniqueName="[Range 2]" displayFolder="" count="0" memberValueDatatype="130" unbalanced="0"/>
    <cacheHierarchy uniqueName="[Range 2].[Name]" caption="Name" attribute="1" defaultMemberUniqueName="[Range 2].[Name].[All]" allUniqueName="[Range 2].[Name].[All]" dimensionUniqueName="[Range 2]" displayFolder="" count="2" memberValueDatatype="130" unbalanced="0"/>
    <cacheHierarchy uniqueName="[Range 2].[Department]" caption="Department" attribute="1" defaultMemberUniqueName="[Range 2].[Department].[All]" allUniqueName="[Range 2].[Department].[All]" dimensionUniqueName="[Range 2]" displayFolder="" count="0" memberValueDatatype="130" unbalanced="0"/>
    <cacheHierarchy uniqueName="[Range 2].[Country]" caption="Country" attribute="1" defaultMemberUniqueName="[Range 2].[Country].[All]" allUniqueName="[Range 2].[Country].[All]" dimensionUniqueName="[Range 2]" displayFolder="" count="0" memberValueDatatype="130" unbalanced="0"/>
    <cacheHierarchy uniqueName="[Range 2].[Salary]" caption="Salary" attribute="1" defaultMemberUniqueName="[Range 2].[Salary].[All]" allUniqueName="[Range 2].[Salary].[All]" dimensionUniqueName="[Range 2]" displayFolder="" count="0" memberValueDatatype="5" unbalanced="0"/>
    <cacheHierarchy uniqueName="[Range 2].[Date of Joining]" caption="Date of Joining" attribute="1" defaultMemberUniqueName="[Range 2].[Date of Joining].[All]" allUniqueName="[Range 2].[Date of Joining].[All]" dimensionUniqueName="[Range 2]" displayFolder="" count="0" memberValueDatatype="130" unbalanced="0"/>
    <cacheHierarchy uniqueName="[Range 2].[Performance Rating]" caption="Performance Rating" attribute="1" defaultMemberUniqueName="[Range 2].[Performance Rating].[All]" allUniqueName="[Range 2].[Performance Rating].[All]" dimensionUniqueName="[Range 2]" displayFolder="" count="0" memberValueDatatype="5" unbalanced="0"/>
    <cacheHierarchy uniqueName="[Range 2].[Gender]" caption="Gender" attribute="1" defaultMemberUniqueName="[Range 2].[Gender].[All]" allUniqueName="[Range 2].[Gender].[All]" dimensionUniqueName="[Range 2]" displayFolder="" count="0" memberValueDatatype="130" unbalanced="0"/>
    <cacheHierarchy uniqueName="[Table117  Employee ID   Gender].[Employee ID]" caption="Employee ID" attribute="1" defaultMemberUniqueName="[Table117  Employee ID   Gender].[Employee ID].[All]" allUniqueName="[Table117  Employee ID   Gender].[Employee ID].[All]" dimensionUniqueName="[Table117  Employee ID   Gender]" displayFolder="" count="0" memberValueDatatype="130" unbalanced="0"/>
    <cacheHierarchy uniqueName="[Table117  Employee ID   Gender].[Name]" caption="Name" attribute="1" defaultMemberUniqueName="[Table117  Employee ID   Gender].[Name].[All]" allUniqueName="[Table117  Employee ID   Gender].[Name].[All]" dimensionUniqueName="[Table117  Employee ID   Gender]" displayFolder="" count="0" memberValueDatatype="130" unbalanced="0"/>
    <cacheHierarchy uniqueName="[Table117  Employee ID   Gender].[Department]" caption="Department" attribute="1" defaultMemberUniqueName="[Table117  Employee ID   Gender].[Department].[All]" allUniqueName="[Table117  Employee ID   Gender].[Department].[All]" dimensionUniqueName="[Table117  Employee ID   Gender]" displayFolder="" count="0" memberValueDatatype="130" unbalanced="0"/>
    <cacheHierarchy uniqueName="[Table117  Employee ID   Gender].[Country]" caption="Country" attribute="1" defaultMemberUniqueName="[Table117  Employee ID   Gender].[Country].[All]" allUniqueName="[Table117  Employee ID   Gender].[Country].[All]" dimensionUniqueName="[Table117  Employee ID   Gender]" displayFolder="" count="0" memberValueDatatype="130" unbalanced="0"/>
    <cacheHierarchy uniqueName="[Table117  Employee ID   Gender].[Salary]" caption="Salary" attribute="1" defaultMemberUniqueName="[Table117  Employee ID   Gender].[Salary].[All]" allUniqueName="[Table117  Employee ID   Gender].[Salary].[All]" dimensionUniqueName="[Table117  Employee ID   Gender]" displayFolder="" count="0" memberValueDatatype="5" unbalanced="0"/>
    <cacheHierarchy uniqueName="[Table117  Employee ID   Gender].[Date of Joining]" caption="Date of Joining" attribute="1" defaultMemberUniqueName="[Table117  Employee ID   Gender].[Date of Joining].[All]" allUniqueName="[Table117  Employee ID   Gender].[Date of Joining].[All]" dimensionUniqueName="[Table117  Employee ID   Gender]" displayFolder="" count="0" memberValueDatatype="130" unbalanced="0"/>
    <cacheHierarchy uniqueName="[Table117  Employee ID   Gender].[Joined Month]" caption="Joined Month" attribute="1" defaultMemberUniqueName="[Table117  Employee ID   Gender].[Joined Month].[All]" allUniqueName="[Table117  Employee ID   Gender].[Joined Month].[All]" dimensionUniqueName="[Table117  Employee ID   Gender]" displayFolder="" count="0" memberValueDatatype="130" unbalanced="0"/>
    <cacheHierarchy uniqueName="[Table117  Employee ID   Gender].[Performance Rating]" caption="Performance Rating" attribute="1" defaultMemberUniqueName="[Table117  Employee ID   Gender].[Performance Rating].[All]" allUniqueName="[Table117  Employee ID   Gender].[Performance Rating].[All]" dimensionUniqueName="[Table117  Employee ID   Gender]" displayFolder="" count="0" memberValueDatatype="5" unbalanced="0"/>
    <cacheHierarchy uniqueName="[Table117  Employee ID   Gender].[Gender]" caption="Gender" attribute="1" defaultMemberUniqueName="[Table117  Employee ID   Gender].[Gender].[All]" allUniqueName="[Table117  Employee ID   Gender].[Gender].[All]" dimensionUniqueName="[Table117  Employee ID   Gender]" displayFolder="" count="0" memberValueDatatype="130" unbalanced="0"/>
    <cacheHierarchy uniqueName="[Measures].[__XL_Count Range]" caption="__XL_Count Range" measure="1" displayFolder="" measureGroup="Range" count="0" hidden="1"/>
    <cacheHierarchy uniqueName="[Measures].[__XL_Count Table117  Employee ID   Gender]" caption="__XL_Count Table117  Employee ID   Gender" measure="1" displayFolder="" measureGroup="Table117  Employee ID   Gender"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No measures defined]" caption="__No measures defined" measure="1" displayFolder="" count="0" hidden="1"/>
    <cacheHierarchy uniqueName="[Measures].[Sum of Performance Rating]" caption="Sum of Performance Rating" measure="1" displayFolder="" measureGroup="Range" count="0" hidden="1">
      <extLst>
        <ext xmlns:x15="http://schemas.microsoft.com/office/spreadsheetml/2010/11/main" uri="{B97F6D7D-B522-45F9-BDA1-12C45D357490}">
          <x15:cacheHierarchy aggregatedColumn="6"/>
        </ext>
      </extLst>
    </cacheHierarchy>
    <cacheHierarchy uniqueName="[Measures].[Max of Performance Rating]" caption="Max of Performance Rating" measure="1" displayFolder="" measureGroup="Range" count="0" hidden="1">
      <extLst>
        <ext xmlns:x15="http://schemas.microsoft.com/office/spreadsheetml/2010/11/main" uri="{B97F6D7D-B522-45F9-BDA1-12C45D357490}">
          <x15:cacheHierarchy aggregatedColumn="6"/>
        </ext>
      </extLst>
    </cacheHierarchy>
    <cacheHierarchy uniqueName="[Measures].[Sum of Salary]" caption="Sum of Salary" measure="1" displayFolder="" measureGroup="Range" count="0" hidden="1">
      <extLst>
        <ext xmlns:x15="http://schemas.microsoft.com/office/spreadsheetml/2010/11/main" uri="{B97F6D7D-B522-45F9-BDA1-12C45D357490}">
          <x15:cacheHierarchy aggregatedColumn="4"/>
        </ext>
      </extLst>
    </cacheHierarchy>
    <cacheHierarchy uniqueName="[Measures].[Average of Salary]" caption="Average of Salary" measure="1" displayFolder="" measureGroup="Range" count="0" hidden="1">
      <extLst>
        <ext xmlns:x15="http://schemas.microsoft.com/office/spreadsheetml/2010/11/main" uri="{B97F6D7D-B522-45F9-BDA1-12C45D357490}">
          <x15:cacheHierarchy aggregatedColumn="4"/>
        </ext>
      </extLst>
    </cacheHierarchy>
    <cacheHierarchy uniqueName="[Measures].[Count of Joined Month]" caption="Count of Joined Month" measure="1" displayFolder="" measureGroup="Table117  Employee ID   Gender" count="0" hidden="1">
      <extLst>
        <ext xmlns:x15="http://schemas.microsoft.com/office/spreadsheetml/2010/11/main" uri="{B97F6D7D-B522-45F9-BDA1-12C45D357490}">
          <x15:cacheHierarchy aggregatedColumn="30"/>
        </ext>
      </extLst>
    </cacheHierarchy>
    <cacheHierarchy uniqueName="[Measures].[Sum of Salary 2]" caption="Sum of Salary 2" measure="1" displayFolder="" measureGroup="Table117  Employee ID   Gender" count="0" hidden="1">
      <extLst>
        <ext xmlns:x15="http://schemas.microsoft.com/office/spreadsheetml/2010/11/main" uri="{B97F6D7D-B522-45F9-BDA1-12C45D357490}">
          <x15:cacheHierarchy aggregatedColumn="28"/>
        </ext>
      </extLst>
    </cacheHierarchy>
    <cacheHierarchy uniqueName="[Measures].[Min of Salary]" caption="Min of Salary" measure="1" displayFolder="" measureGroup="Table117  Employee ID   Gender" count="0" hidden="1">
      <extLst>
        <ext xmlns:x15="http://schemas.microsoft.com/office/spreadsheetml/2010/11/main" uri="{B97F6D7D-B522-45F9-BDA1-12C45D357490}">
          <x15:cacheHierarchy aggregatedColumn="28"/>
        </ext>
      </extLst>
    </cacheHierarchy>
    <cacheHierarchy uniqueName="[Measures].[Sum of Salary 3]" caption="Sum of Salary 3" measure="1" displayFolder="" measureGroup="Range 1" count="0" hidden="1">
      <extLst>
        <ext xmlns:x15="http://schemas.microsoft.com/office/spreadsheetml/2010/11/main" uri="{B97F6D7D-B522-45F9-BDA1-12C45D357490}">
          <x15:cacheHierarchy aggregatedColumn="12"/>
        </ext>
      </extLst>
    </cacheHierarchy>
    <cacheHierarchy uniqueName="[Measures].[Count of Name]" caption="Count of Name" measure="1" displayFolder="" measureGroup="Range 1" count="0" hidden="1">
      <extLst>
        <ext xmlns:x15="http://schemas.microsoft.com/office/spreadsheetml/2010/11/main" uri="{B97F6D7D-B522-45F9-BDA1-12C45D357490}">
          <x15:cacheHierarchy aggregatedColumn="9"/>
        </ext>
      </extLst>
    </cacheHierarchy>
    <cacheHierarchy uniqueName="[Measures].[Count of Employee ID]" caption="Count of Employee ID" measure="1" displayFolder="" measureGroup="Range 2" count="0" hidden="1">
      <extLst>
        <ext xmlns:x15="http://schemas.microsoft.com/office/spreadsheetml/2010/11/main" uri="{B97F6D7D-B522-45F9-BDA1-12C45D357490}">
          <x15:cacheHierarchy aggregatedColumn="16"/>
        </ext>
      </extLst>
    </cacheHierarchy>
    <cacheHierarchy uniqueName="[Measures].[Sum of Salary 4]" caption="Sum of Salary 4" measure="1" displayFolder="" measureGroup="Range 2" count="0" hidden="1">
      <extLst>
        <ext xmlns:x15="http://schemas.microsoft.com/office/spreadsheetml/2010/11/main" uri="{B97F6D7D-B522-45F9-BDA1-12C45D357490}">
          <x15:cacheHierarchy aggregatedColumn="20"/>
        </ext>
      </extLst>
    </cacheHierarchy>
    <cacheHierarchy uniqueName="[Measures].[Average of Salary 2]" caption="Average of Salary 2" measure="1" displayFolder="" measureGroup="Range 2" count="0" hidden="1">
      <extLst>
        <ext xmlns:x15="http://schemas.microsoft.com/office/spreadsheetml/2010/11/main" uri="{B97F6D7D-B522-45F9-BDA1-12C45D357490}">
          <x15:cacheHierarchy aggregatedColumn="20"/>
        </ext>
      </extLst>
    </cacheHierarchy>
    <cacheHierarchy uniqueName="[Measures].[Count of Employee ID 2]" caption="Count of Employee ID 2" measure="1" displayFolder="" measureGroup="Range" count="0" oneField="1" hidden="1">
      <fieldsUsage count="1">
        <fieldUsage x="1"/>
      </fieldsUsage>
      <extLst>
        <ext xmlns:x15="http://schemas.microsoft.com/office/spreadsheetml/2010/11/main" uri="{B97F6D7D-B522-45F9-BDA1-12C45D357490}">
          <x15:cacheHierarchy aggregatedColumn="0"/>
        </ext>
      </extLst>
    </cacheHierarchy>
    <cacheHierarchy uniqueName="[Measures].[Count of Department]" caption="Count of Department" measure="1" displayFolder="" measureGroup="Range" count="0" hidden="1">
      <extLst>
        <ext xmlns:x15="http://schemas.microsoft.com/office/spreadsheetml/2010/11/main" uri="{B97F6D7D-B522-45F9-BDA1-12C45D357490}">
          <x15:cacheHierarchy aggregatedColumn="2"/>
        </ext>
      </extLst>
    </cacheHierarchy>
  </cacheHierarchies>
  <kpis count="0"/>
  <dimensions count="5">
    <dimension measure="1" name="Measures" uniqueName="[Measures]" caption="Measures"/>
    <dimension name="Range" uniqueName="[Range]" caption="Range"/>
    <dimension name="Range 1" uniqueName="[Range 1]" caption="Range 1"/>
    <dimension name="Range 2" uniqueName="[Range 2]" caption="Range 2"/>
    <dimension name="Table117  Employee ID   Gender" uniqueName="[Table117  Employee ID   Gender]" caption="Table117  Employee ID   Gender"/>
  </dimensions>
  <measureGroups count="4">
    <measureGroup name="Range" caption="Range"/>
    <measureGroup name="Range 1" caption="Range 1"/>
    <measureGroup name="Range 2" caption="Range 2"/>
    <measureGroup name="Table117  Employee ID   Gender" caption="Table117  Employee ID   Gender"/>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ishna" refreshedDate="45978.389197337965" backgroundQuery="1" createdVersion="8" refreshedVersion="8" minRefreshableVersion="3" recordCount="0" supportSubquery="1" supportAdvancedDrill="1" xr:uid="{93B1CDBF-3E54-4264-A65A-2461BAFD43EA}">
  <cacheSource type="external" connectionId="2"/>
  <cacheFields count="3">
    <cacheField name="[Range].[Department].[Department]" caption="Department" numFmtId="0" hierarchy="2" level="1">
      <sharedItems count="6">
        <s v="Finance"/>
        <s v="HR"/>
        <s v="IT"/>
        <s v="Marketing"/>
        <s v="Sales"/>
        <s v="Unknown"/>
      </sharedItems>
    </cacheField>
    <cacheField name="[Measures].[Sum of Salary]" caption="Sum of Salary" numFmtId="0" hierarchy="40" level="32767"/>
    <cacheField name="[Range].[Employee ID].[Employee ID]" caption="Employee ID" numFmtId="0" level="1">
      <sharedItems containsSemiMixedTypes="0" containsNonDate="0" containsString="0"/>
    </cacheField>
  </cacheFields>
  <cacheHierarchies count="52">
    <cacheHierarchy uniqueName="[Range].[Employee ID]" caption="Employee ID" attribute="1" defaultMemberUniqueName="[Range].[Employee ID].[All]" allUniqueName="[Range].[Employee ID].[All]" dimensionUniqueName="[Range]" displayFolder="" count="2" memberValueDatatype="130" unbalanced="0">
      <fieldsUsage count="2">
        <fieldUsage x="-1"/>
        <fieldUsage x="2"/>
      </fieldsUsage>
    </cacheHierarchy>
    <cacheHierarchy uniqueName="[Range].[Name]" caption="Name" attribute="1" defaultMemberUniqueName="[Range].[Name].[All]" allUniqueName="[Range].[Name].[All]" dimensionUniqueName="[Range]" displayFolder="" count="0" memberValueDatatype="130" unbalanced="0"/>
    <cacheHierarchy uniqueName="[Range].[Department]" caption="Department" attribute="1" defaultMemberUniqueName="[Range].[Department].[All]" allUniqueName="[Range].[Department].[All]" dimensionUniqueName="[Range]" displayFolder="" count="2" memberValueDatatype="130" unbalanced="0">
      <fieldsUsage count="2">
        <fieldUsage x="-1"/>
        <fieldUsage x="0"/>
      </fieldsUsage>
    </cacheHierarchy>
    <cacheHierarchy uniqueName="[Range].[Country]" caption="Country" attribute="1" defaultMemberUniqueName="[Range].[Country].[All]" allUniqueName="[Range].[Country].[All]" dimensionUniqueName="[Range]" displayFolder="" count="0" memberValueDatatype="130" unbalanced="0"/>
    <cacheHierarchy uniqueName="[Range].[Salary]" caption="Salary" attribute="1" defaultMemberUniqueName="[Range].[Salary].[All]" allUniqueName="[Range].[Salary].[All]" dimensionUniqueName="[Range]" displayFolder="" count="0" memberValueDatatype="5" unbalanced="0"/>
    <cacheHierarchy uniqueName="[Range].[Date of Joining]" caption="Date of Joining" attribute="1" defaultMemberUniqueName="[Range].[Date of Joining].[All]" allUniqueName="[Range].[Date of Joining].[All]" dimensionUniqueName="[Range]" displayFolder="" count="0" memberValueDatatype="130" unbalanced="0"/>
    <cacheHierarchy uniqueName="[Range].[Performance Rating]" caption="Performance Rating" attribute="1" defaultMemberUniqueName="[Range].[Performance Rating].[All]" allUniqueName="[Range].[Performance Rating].[All]" dimensionUniqueName="[Range]" displayFolder="" count="0" memberValueDatatype="5" unbalanced="0"/>
    <cacheHierarchy uniqueName="[Range].[Gender]" caption="Gender" attribute="1" defaultMemberUniqueName="[Range].[Gender].[All]" allUniqueName="[Range].[Gender].[All]" dimensionUniqueName="[Range]" displayFolder="" count="0" memberValueDatatype="130" unbalanced="0"/>
    <cacheHierarchy uniqueName="[Range 1].[Employee ID]" caption="Employee ID" attribute="1" defaultMemberUniqueName="[Range 1].[Employee ID].[All]" allUniqueName="[Range 1].[Employee ID].[All]" dimensionUniqueName="[Range 1]" displayFolder="" count="0" memberValueDatatype="130" unbalanced="0"/>
    <cacheHierarchy uniqueName="[Range 1].[Name]" caption="Name" attribute="1" defaultMemberUniqueName="[Range 1].[Name].[All]" allUniqueName="[Range 1].[Name].[All]" dimensionUniqueName="[Range 1]" displayFolder="" count="0" memberValueDatatype="130" unbalanced="0"/>
    <cacheHierarchy uniqueName="[Range 1].[Department]" caption="Department" attribute="1" defaultMemberUniqueName="[Range 1].[Department].[All]" allUniqueName="[Range 1].[Department].[All]" dimensionUniqueName="[Range 1]" displayFolder="" count="0" memberValueDatatype="130" unbalanced="0"/>
    <cacheHierarchy uniqueName="[Range 1].[Country]" caption="Country" attribute="1" defaultMemberUniqueName="[Range 1].[Country].[All]" allUniqueName="[Range 1].[Country].[All]" dimensionUniqueName="[Range 1]" displayFolder="" count="0" memberValueDatatype="130" unbalanced="0"/>
    <cacheHierarchy uniqueName="[Range 1].[Salary]" caption="Salary" attribute="1" defaultMemberUniqueName="[Range 1].[Salary].[All]" allUniqueName="[Range 1].[Salary].[All]" dimensionUniqueName="[Range 1]" displayFolder="" count="0" memberValueDatatype="5" unbalanced="0"/>
    <cacheHierarchy uniqueName="[Range 1].[Date of Joining]" caption="Date of Joining" attribute="1" defaultMemberUniqueName="[Range 1].[Date of Joining].[All]" allUniqueName="[Range 1].[Date of Joining].[All]" dimensionUniqueName="[Range 1]" displayFolder="" count="0" memberValueDatatype="130" unbalanced="0"/>
    <cacheHierarchy uniqueName="[Range 1].[Performance Rating]" caption="Performance Rating" attribute="1" defaultMemberUniqueName="[Range 1].[Performance Rating].[All]" allUniqueName="[Range 1].[Performance Rating].[All]" dimensionUniqueName="[Range 1]" displayFolder="" count="0" memberValueDatatype="5" unbalanced="0"/>
    <cacheHierarchy uniqueName="[Range 1].[Gender]" caption="Gender" attribute="1" defaultMemberUniqueName="[Range 1].[Gender].[All]" allUniqueName="[Range 1].[Gender].[All]" dimensionUniqueName="[Range 1]" displayFolder="" count="0" memberValueDatatype="130" unbalanced="0"/>
    <cacheHierarchy uniqueName="[Range 2].[Employee ID]" caption="Employee ID" attribute="1" defaultMemberUniqueName="[Range 2].[Employee ID].[All]" allUniqueName="[Range 2].[Employee ID].[All]" dimensionUniqueName="[Range 2]" displayFolder="" count="0" memberValueDatatype="130" unbalanced="0"/>
    <cacheHierarchy uniqueName="[Range 2].[Name]" caption="Name" attribute="1" defaultMemberUniqueName="[Range 2].[Name].[All]" allUniqueName="[Range 2].[Name].[All]" dimensionUniqueName="[Range 2]" displayFolder="" count="2" memberValueDatatype="130" unbalanced="0"/>
    <cacheHierarchy uniqueName="[Range 2].[Department]" caption="Department" attribute="1" defaultMemberUniqueName="[Range 2].[Department].[All]" allUniqueName="[Range 2].[Department].[All]" dimensionUniqueName="[Range 2]" displayFolder="" count="0" memberValueDatatype="130" unbalanced="0"/>
    <cacheHierarchy uniqueName="[Range 2].[Country]" caption="Country" attribute="1" defaultMemberUniqueName="[Range 2].[Country].[All]" allUniqueName="[Range 2].[Country].[All]" dimensionUniqueName="[Range 2]" displayFolder="" count="0" memberValueDatatype="130" unbalanced="0"/>
    <cacheHierarchy uniqueName="[Range 2].[Salary]" caption="Salary" attribute="1" defaultMemberUniqueName="[Range 2].[Salary].[All]" allUniqueName="[Range 2].[Salary].[All]" dimensionUniqueName="[Range 2]" displayFolder="" count="0" memberValueDatatype="5" unbalanced="0"/>
    <cacheHierarchy uniqueName="[Range 2].[Date of Joining]" caption="Date of Joining" attribute="1" defaultMemberUniqueName="[Range 2].[Date of Joining].[All]" allUniqueName="[Range 2].[Date of Joining].[All]" dimensionUniqueName="[Range 2]" displayFolder="" count="0" memberValueDatatype="130" unbalanced="0"/>
    <cacheHierarchy uniqueName="[Range 2].[Performance Rating]" caption="Performance Rating" attribute="1" defaultMemberUniqueName="[Range 2].[Performance Rating].[All]" allUniqueName="[Range 2].[Performance Rating].[All]" dimensionUniqueName="[Range 2]" displayFolder="" count="0" memberValueDatatype="5" unbalanced="0"/>
    <cacheHierarchy uniqueName="[Range 2].[Gender]" caption="Gender" attribute="1" defaultMemberUniqueName="[Range 2].[Gender].[All]" allUniqueName="[Range 2].[Gender].[All]" dimensionUniqueName="[Range 2]" displayFolder="" count="0" memberValueDatatype="130" unbalanced="0"/>
    <cacheHierarchy uniqueName="[Table117  Employee ID   Gender].[Employee ID]" caption="Employee ID" attribute="1" defaultMemberUniqueName="[Table117  Employee ID   Gender].[Employee ID].[All]" allUniqueName="[Table117  Employee ID   Gender].[Employee ID].[All]" dimensionUniqueName="[Table117  Employee ID   Gender]" displayFolder="" count="0" memberValueDatatype="130" unbalanced="0"/>
    <cacheHierarchy uniqueName="[Table117  Employee ID   Gender].[Name]" caption="Name" attribute="1" defaultMemberUniqueName="[Table117  Employee ID   Gender].[Name].[All]" allUniqueName="[Table117  Employee ID   Gender].[Name].[All]" dimensionUniqueName="[Table117  Employee ID   Gender]" displayFolder="" count="0" memberValueDatatype="130" unbalanced="0"/>
    <cacheHierarchy uniqueName="[Table117  Employee ID   Gender].[Department]" caption="Department" attribute="1" defaultMemberUniqueName="[Table117  Employee ID   Gender].[Department].[All]" allUniqueName="[Table117  Employee ID   Gender].[Department].[All]" dimensionUniqueName="[Table117  Employee ID   Gender]" displayFolder="" count="0" memberValueDatatype="130" unbalanced="0"/>
    <cacheHierarchy uniqueName="[Table117  Employee ID   Gender].[Country]" caption="Country" attribute="1" defaultMemberUniqueName="[Table117  Employee ID   Gender].[Country].[All]" allUniqueName="[Table117  Employee ID   Gender].[Country].[All]" dimensionUniqueName="[Table117  Employee ID   Gender]" displayFolder="" count="0" memberValueDatatype="130" unbalanced="0"/>
    <cacheHierarchy uniqueName="[Table117  Employee ID   Gender].[Salary]" caption="Salary" attribute="1" defaultMemberUniqueName="[Table117  Employee ID   Gender].[Salary].[All]" allUniqueName="[Table117  Employee ID   Gender].[Salary].[All]" dimensionUniqueName="[Table117  Employee ID   Gender]" displayFolder="" count="0" memberValueDatatype="5" unbalanced="0"/>
    <cacheHierarchy uniqueName="[Table117  Employee ID   Gender].[Date of Joining]" caption="Date of Joining" attribute="1" defaultMemberUniqueName="[Table117  Employee ID   Gender].[Date of Joining].[All]" allUniqueName="[Table117  Employee ID   Gender].[Date of Joining].[All]" dimensionUniqueName="[Table117  Employee ID   Gender]" displayFolder="" count="0" memberValueDatatype="130" unbalanced="0"/>
    <cacheHierarchy uniqueName="[Table117  Employee ID   Gender].[Joined Month]" caption="Joined Month" attribute="1" defaultMemberUniqueName="[Table117  Employee ID   Gender].[Joined Month].[All]" allUniqueName="[Table117  Employee ID   Gender].[Joined Month].[All]" dimensionUniqueName="[Table117  Employee ID   Gender]" displayFolder="" count="0" memberValueDatatype="130" unbalanced="0"/>
    <cacheHierarchy uniqueName="[Table117  Employee ID   Gender].[Performance Rating]" caption="Performance Rating" attribute="1" defaultMemberUniqueName="[Table117  Employee ID   Gender].[Performance Rating].[All]" allUniqueName="[Table117  Employee ID   Gender].[Performance Rating].[All]" dimensionUniqueName="[Table117  Employee ID   Gender]" displayFolder="" count="0" memberValueDatatype="5" unbalanced="0"/>
    <cacheHierarchy uniqueName="[Table117  Employee ID   Gender].[Gender]" caption="Gender" attribute="1" defaultMemberUniqueName="[Table117  Employee ID   Gender].[Gender].[All]" allUniqueName="[Table117  Employee ID   Gender].[Gender].[All]" dimensionUniqueName="[Table117  Employee ID   Gender]" displayFolder="" count="0" memberValueDatatype="130" unbalanced="0"/>
    <cacheHierarchy uniqueName="[Measures].[__XL_Count Range]" caption="__XL_Count Range" measure="1" displayFolder="" measureGroup="Range" count="0" hidden="1"/>
    <cacheHierarchy uniqueName="[Measures].[__XL_Count Table117  Employee ID   Gender]" caption="__XL_Count Table117  Employee ID   Gender" measure="1" displayFolder="" measureGroup="Table117  Employee ID   Gender"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No measures defined]" caption="__No measures defined" measure="1" displayFolder="" count="0" hidden="1"/>
    <cacheHierarchy uniqueName="[Measures].[Sum of Performance Rating]" caption="Sum of Performance Rating" measure="1" displayFolder="" measureGroup="Range" count="0" hidden="1">
      <extLst>
        <ext xmlns:x15="http://schemas.microsoft.com/office/spreadsheetml/2010/11/main" uri="{B97F6D7D-B522-45F9-BDA1-12C45D357490}">
          <x15:cacheHierarchy aggregatedColumn="6"/>
        </ext>
      </extLst>
    </cacheHierarchy>
    <cacheHierarchy uniqueName="[Measures].[Max of Performance Rating]" caption="Max of Performance Rating" measure="1" displayFolder="" measureGroup="Range" count="0" hidden="1">
      <extLst>
        <ext xmlns:x15="http://schemas.microsoft.com/office/spreadsheetml/2010/11/main" uri="{B97F6D7D-B522-45F9-BDA1-12C45D357490}">
          <x15:cacheHierarchy aggregatedColumn="6"/>
        </ext>
      </extLst>
    </cacheHierarchy>
    <cacheHierarchy uniqueName="[Measures].[Sum of Salary]" caption="Sum of Salary" measure="1" displayFolder="" measureGroup="Range" count="0" oneField="1" hidden="1">
      <fieldsUsage count="1">
        <fieldUsage x="1"/>
      </fieldsUsage>
      <extLst>
        <ext xmlns:x15="http://schemas.microsoft.com/office/spreadsheetml/2010/11/main" uri="{B97F6D7D-B522-45F9-BDA1-12C45D357490}">
          <x15:cacheHierarchy aggregatedColumn="4"/>
        </ext>
      </extLst>
    </cacheHierarchy>
    <cacheHierarchy uniqueName="[Measures].[Average of Salary]" caption="Average of Salary" measure="1" displayFolder="" measureGroup="Range" count="0" hidden="1">
      <extLst>
        <ext xmlns:x15="http://schemas.microsoft.com/office/spreadsheetml/2010/11/main" uri="{B97F6D7D-B522-45F9-BDA1-12C45D357490}">
          <x15:cacheHierarchy aggregatedColumn="4"/>
        </ext>
      </extLst>
    </cacheHierarchy>
    <cacheHierarchy uniqueName="[Measures].[Count of Joined Month]" caption="Count of Joined Month" measure="1" displayFolder="" measureGroup="Table117  Employee ID   Gender" count="0" hidden="1">
      <extLst>
        <ext xmlns:x15="http://schemas.microsoft.com/office/spreadsheetml/2010/11/main" uri="{B97F6D7D-B522-45F9-BDA1-12C45D357490}">
          <x15:cacheHierarchy aggregatedColumn="30"/>
        </ext>
      </extLst>
    </cacheHierarchy>
    <cacheHierarchy uniqueName="[Measures].[Sum of Salary 2]" caption="Sum of Salary 2" measure="1" displayFolder="" measureGroup="Table117  Employee ID   Gender" count="0" hidden="1">
      <extLst>
        <ext xmlns:x15="http://schemas.microsoft.com/office/spreadsheetml/2010/11/main" uri="{B97F6D7D-B522-45F9-BDA1-12C45D357490}">
          <x15:cacheHierarchy aggregatedColumn="28"/>
        </ext>
      </extLst>
    </cacheHierarchy>
    <cacheHierarchy uniqueName="[Measures].[Min of Salary]" caption="Min of Salary" measure="1" displayFolder="" measureGroup="Table117  Employee ID   Gender" count="0" hidden="1">
      <extLst>
        <ext xmlns:x15="http://schemas.microsoft.com/office/spreadsheetml/2010/11/main" uri="{B97F6D7D-B522-45F9-BDA1-12C45D357490}">
          <x15:cacheHierarchy aggregatedColumn="28"/>
        </ext>
      </extLst>
    </cacheHierarchy>
    <cacheHierarchy uniqueName="[Measures].[Sum of Salary 3]" caption="Sum of Salary 3" measure="1" displayFolder="" measureGroup="Range 1" count="0" hidden="1">
      <extLst>
        <ext xmlns:x15="http://schemas.microsoft.com/office/spreadsheetml/2010/11/main" uri="{B97F6D7D-B522-45F9-BDA1-12C45D357490}">
          <x15:cacheHierarchy aggregatedColumn="12"/>
        </ext>
      </extLst>
    </cacheHierarchy>
    <cacheHierarchy uniqueName="[Measures].[Count of Name]" caption="Count of Name" measure="1" displayFolder="" measureGroup="Range 1" count="0" hidden="1">
      <extLst>
        <ext xmlns:x15="http://schemas.microsoft.com/office/spreadsheetml/2010/11/main" uri="{B97F6D7D-B522-45F9-BDA1-12C45D357490}">
          <x15:cacheHierarchy aggregatedColumn="9"/>
        </ext>
      </extLst>
    </cacheHierarchy>
    <cacheHierarchy uniqueName="[Measures].[Count of Employee ID]" caption="Count of Employee ID" measure="1" displayFolder="" measureGroup="Range 2" count="0" hidden="1">
      <extLst>
        <ext xmlns:x15="http://schemas.microsoft.com/office/spreadsheetml/2010/11/main" uri="{B97F6D7D-B522-45F9-BDA1-12C45D357490}">
          <x15:cacheHierarchy aggregatedColumn="16"/>
        </ext>
      </extLst>
    </cacheHierarchy>
    <cacheHierarchy uniqueName="[Measures].[Sum of Salary 4]" caption="Sum of Salary 4" measure="1" displayFolder="" measureGroup="Range 2" count="0" hidden="1">
      <extLst>
        <ext xmlns:x15="http://schemas.microsoft.com/office/spreadsheetml/2010/11/main" uri="{B97F6D7D-B522-45F9-BDA1-12C45D357490}">
          <x15:cacheHierarchy aggregatedColumn="20"/>
        </ext>
      </extLst>
    </cacheHierarchy>
    <cacheHierarchy uniqueName="[Measures].[Average of Salary 2]" caption="Average of Salary 2" measure="1" displayFolder="" measureGroup="Range 2" count="0" hidden="1">
      <extLst>
        <ext xmlns:x15="http://schemas.microsoft.com/office/spreadsheetml/2010/11/main" uri="{B97F6D7D-B522-45F9-BDA1-12C45D357490}">
          <x15:cacheHierarchy aggregatedColumn="20"/>
        </ext>
      </extLst>
    </cacheHierarchy>
    <cacheHierarchy uniqueName="[Measures].[Count of Employee ID 2]" caption="Count of Employee ID 2" measure="1" displayFolder="" measureGroup="Range" count="0" hidden="1">
      <extLst>
        <ext xmlns:x15="http://schemas.microsoft.com/office/spreadsheetml/2010/11/main" uri="{B97F6D7D-B522-45F9-BDA1-12C45D357490}">
          <x15:cacheHierarchy aggregatedColumn="0"/>
        </ext>
      </extLst>
    </cacheHierarchy>
    <cacheHierarchy uniqueName="[Measures].[Count of Department]" caption="Count of Department" measure="1" displayFolder="" measureGroup="Range" count="0" hidden="1">
      <extLst>
        <ext xmlns:x15="http://schemas.microsoft.com/office/spreadsheetml/2010/11/main" uri="{B97F6D7D-B522-45F9-BDA1-12C45D357490}">
          <x15:cacheHierarchy aggregatedColumn="2"/>
        </ext>
      </extLst>
    </cacheHierarchy>
  </cacheHierarchies>
  <kpis count="0"/>
  <dimensions count="5">
    <dimension measure="1" name="Measures" uniqueName="[Measures]" caption="Measures"/>
    <dimension name="Range" uniqueName="[Range]" caption="Range"/>
    <dimension name="Range 1" uniqueName="[Range 1]" caption="Range 1"/>
    <dimension name="Range 2" uniqueName="[Range 2]" caption="Range 2"/>
    <dimension name="Table117  Employee ID   Gender" uniqueName="[Table117  Employee ID   Gender]" caption="Table117  Employee ID   Gender"/>
  </dimensions>
  <measureGroups count="4">
    <measureGroup name="Range" caption="Range"/>
    <measureGroup name="Range 1" caption="Range 1"/>
    <measureGroup name="Range 2" caption="Range 2"/>
    <measureGroup name="Table117  Employee ID   Gender" caption="Table117  Employee ID   Gender"/>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ishna" refreshedDate="45978.389198263889" backgroundQuery="1" createdVersion="8" refreshedVersion="8" minRefreshableVersion="3" recordCount="0" supportSubquery="1" supportAdvancedDrill="1" xr:uid="{ED1302B4-B15B-4801-85AB-F16D5E8F27AF}">
  <cacheSource type="external" connectionId="2"/>
  <cacheFields count="4">
    <cacheField name="[Table117  Employee ID   Gender].[Joined Month].[Joined Month]" caption="Joined Month" numFmtId="0" hierarchy="30" level="1">
      <sharedItems count="13">
        <s v="April"/>
        <s v="August"/>
        <s v="December"/>
        <s v="February"/>
        <s v="January"/>
        <s v="July"/>
        <s v="June"/>
        <s v="March"/>
        <s v="May"/>
        <s v="November"/>
        <s v="October"/>
        <s v="September"/>
        <s v="Unknown"/>
      </sharedItems>
    </cacheField>
    <cacheField name="[Measures].[Min of Salary]" caption="Min of Salary" numFmtId="0" hierarchy="44" level="32767"/>
    <cacheField name="[Table117  Employee ID   Gender].[Employee ID].[Employee ID]" caption="Employee ID" numFmtId="0" hierarchy="24" level="1">
      <sharedItems count="150">
        <s v="EMP1013"/>
        <s v="EMP1014"/>
        <s v="EMP1015"/>
        <s v="EMP1016"/>
        <s v="EMP1065"/>
        <s v="EMP1066"/>
        <s v="EMP1067"/>
        <s v="EMP1068"/>
        <s v="EMP1117"/>
        <s v="EMP1118"/>
        <s v="EMP1119"/>
        <s v="EMP1121"/>
        <s v="EMP1031"/>
        <s v="EMP1032"/>
        <s v="EMP1033"/>
        <s v="EMP1034"/>
        <s v="EMP1083"/>
        <s v="EMP1084"/>
        <s v="EMP1085"/>
        <s v="EMP1086"/>
        <s v="EMP1135"/>
        <s v="EMP1136"/>
        <s v="EMP1137"/>
        <s v="EMP1138"/>
        <s v="EMP1048"/>
        <s v="EMP1049"/>
        <s v="EMP1051"/>
        <s v="EMP1100"/>
        <s v="EMP1101"/>
        <s v="EMP1102"/>
        <s v="EMP1103"/>
        <s v="EMP1004"/>
        <s v="EMP1005"/>
        <s v="EMP1006"/>
        <s v="EMP1007"/>
        <s v="EMP1057"/>
        <s v="EMP1058"/>
        <s v="EMP1059"/>
        <s v="EMP1109"/>
        <s v="EMP1111"/>
        <s v="EMP1112"/>
        <s v="EMP1001"/>
        <s v="EMP1002"/>
        <s v="EMP1003"/>
        <s v="EMP1052"/>
        <s v="EMP1053"/>
        <s v="EMP1054"/>
        <s v="EMP1055"/>
        <s v="EMP1056"/>
        <s v="EMP1104"/>
        <s v="EMP1105"/>
        <s v="EMP1106"/>
        <s v="EMP1107"/>
        <s v="EMP1108"/>
        <s v="EMP1026"/>
        <s v="EMP1027"/>
        <s v="EMP1028"/>
        <s v="EMP1029"/>
        <s v="EMP1078"/>
        <s v="EMP1079"/>
        <s v="EMP1081"/>
        <s v="EMP1082"/>
        <s v="EMP1131"/>
        <s v="EMP1132"/>
        <s v="EMP1133"/>
        <s v="EMP1134"/>
        <s v="EMP1022"/>
        <s v="EMP1023"/>
        <s v="EMP1024"/>
        <s v="EMP1025"/>
        <s v="EMP1074"/>
        <s v="EMP1075"/>
        <s v="EMP1076"/>
        <s v="EMP1077"/>
        <s v="EMP1126"/>
        <s v="EMP1127"/>
        <s v="EMP1128"/>
        <s v="EMP1129"/>
        <s v="EMP1008"/>
        <s v="EMP1009"/>
        <s v="EMP1010"/>
        <s v="EMP1011"/>
        <s v="EMP1012"/>
        <s v="EMP1061"/>
        <s v="EMP1062"/>
        <s v="EMP1063"/>
        <s v="EMP1064"/>
        <s v="EMP1113"/>
        <s v="EMP1114"/>
        <s v="EMP1115"/>
        <s v="EMP1116"/>
        <s v="EMP1017"/>
        <s v="EMP1018"/>
        <s v="EMP1019"/>
        <s v="EMP1020"/>
        <s v="EMP1021"/>
        <s v="EMP1069"/>
        <s v="EMP1070"/>
        <s v="EMP1071"/>
        <s v="EMP1072"/>
        <s v="EMP1073"/>
        <s v="EMP1122"/>
        <s v="EMP1123"/>
        <s v="EMP1124"/>
        <s v="EMP1125"/>
        <s v="EMP1043"/>
        <s v="EMP1044"/>
        <s v="EMP1045"/>
        <s v="EMP1046"/>
        <s v="EMP1047"/>
        <s v="EMP1096"/>
        <s v="EMP1097"/>
        <s v="EMP1098"/>
        <s v="EMP1099"/>
        <s v="EMP1148"/>
        <s v="EMP1149"/>
        <s v="EMP1039"/>
        <s v="EMP1041"/>
        <s v="EMP1042"/>
        <s v="EMP1091"/>
        <s v="EMP1092"/>
        <s v="EMP1093"/>
        <s v="EMP1094"/>
        <s v="EMP1095"/>
        <s v="EMP1143"/>
        <s v="EMP1144"/>
        <s v="EMP1145"/>
        <s v="EMP1146"/>
        <s v="EMP1147"/>
        <s v="EMP1035"/>
        <s v="EMP1036"/>
        <s v="EMP1037"/>
        <s v="EMP1038"/>
        <s v="EMP1087"/>
        <s v="EMP1088"/>
        <s v="EMP1089"/>
        <s v="EMP1090"/>
        <s v="EMP1139"/>
        <s v="EMP1140"/>
        <s v="EMP1141"/>
        <s v="EMP1142"/>
        <s v="EMP1000"/>
        <s v="EMP1030"/>
        <s v="EMP1040"/>
        <s v="EMP1050"/>
        <s v="EMP1060"/>
        <s v="EMP1080"/>
        <s v="EMP1110"/>
        <s v="EMP1120"/>
        <s v="EMP1130"/>
      </sharedItems>
    </cacheField>
    <cacheField name="[Range].[Employee ID].[Employee ID]" caption="Employee ID" numFmtId="0" level="1">
      <sharedItems containsSemiMixedTypes="0" containsNonDate="0" containsString="0"/>
    </cacheField>
  </cacheFields>
  <cacheHierarchies count="52">
    <cacheHierarchy uniqueName="[Range].[Employee ID]" caption="Employee ID" attribute="1" defaultMemberUniqueName="[Range].[Employee ID].[All]" allUniqueName="[Range].[Employee ID].[All]" dimensionUniqueName="[Range]" displayFolder="" count="2" memberValueDatatype="130" unbalanced="0">
      <fieldsUsage count="2">
        <fieldUsage x="-1"/>
        <fieldUsage x="3"/>
      </fieldsUsage>
    </cacheHierarchy>
    <cacheHierarchy uniqueName="[Range].[Name]" caption="Name" attribute="1" defaultMemberUniqueName="[Range].[Name].[All]" allUniqueName="[Range].[Name].[All]" dimensionUniqueName="[Range]" displayFolder="" count="0" memberValueDatatype="130" unbalanced="0"/>
    <cacheHierarchy uniqueName="[Range].[Department]" caption="Department" attribute="1" defaultMemberUniqueName="[Range].[Department].[All]" allUniqueName="[Range].[Department].[All]" dimensionUniqueName="[Range]" displayFolder="" count="2" memberValueDatatype="130" unbalanced="0"/>
    <cacheHierarchy uniqueName="[Range].[Country]" caption="Country" attribute="1" defaultMemberUniqueName="[Range].[Country].[All]" allUniqueName="[Range].[Country].[All]" dimensionUniqueName="[Range]" displayFolder="" count="0" memberValueDatatype="130" unbalanced="0"/>
    <cacheHierarchy uniqueName="[Range].[Salary]" caption="Salary" attribute="1" defaultMemberUniqueName="[Range].[Salary].[All]" allUniqueName="[Range].[Salary].[All]" dimensionUniqueName="[Range]" displayFolder="" count="0" memberValueDatatype="5" unbalanced="0"/>
    <cacheHierarchy uniqueName="[Range].[Date of Joining]" caption="Date of Joining" attribute="1" defaultMemberUniqueName="[Range].[Date of Joining].[All]" allUniqueName="[Range].[Date of Joining].[All]" dimensionUniqueName="[Range]" displayFolder="" count="0" memberValueDatatype="130" unbalanced="0"/>
    <cacheHierarchy uniqueName="[Range].[Performance Rating]" caption="Performance Rating" attribute="1" defaultMemberUniqueName="[Range].[Performance Rating].[All]" allUniqueName="[Range].[Performance Rating].[All]" dimensionUniqueName="[Range]" displayFolder="" count="0" memberValueDatatype="5" unbalanced="0"/>
    <cacheHierarchy uniqueName="[Range].[Gender]" caption="Gender" attribute="1" defaultMemberUniqueName="[Range].[Gender].[All]" allUniqueName="[Range].[Gender].[All]" dimensionUniqueName="[Range]" displayFolder="" count="0" memberValueDatatype="130" unbalanced="0"/>
    <cacheHierarchy uniqueName="[Range 1].[Employee ID]" caption="Employee ID" attribute="1" defaultMemberUniqueName="[Range 1].[Employee ID].[All]" allUniqueName="[Range 1].[Employee ID].[All]" dimensionUniqueName="[Range 1]" displayFolder="" count="0" memberValueDatatype="130" unbalanced="0"/>
    <cacheHierarchy uniqueName="[Range 1].[Name]" caption="Name" attribute="1" defaultMemberUniqueName="[Range 1].[Name].[All]" allUniqueName="[Range 1].[Name].[All]" dimensionUniqueName="[Range 1]" displayFolder="" count="0" memberValueDatatype="130" unbalanced="0"/>
    <cacheHierarchy uniqueName="[Range 1].[Department]" caption="Department" attribute="1" defaultMemberUniqueName="[Range 1].[Department].[All]" allUniqueName="[Range 1].[Department].[All]" dimensionUniqueName="[Range 1]" displayFolder="" count="0" memberValueDatatype="130" unbalanced="0"/>
    <cacheHierarchy uniqueName="[Range 1].[Country]" caption="Country" attribute="1" defaultMemberUniqueName="[Range 1].[Country].[All]" allUniqueName="[Range 1].[Country].[All]" dimensionUniqueName="[Range 1]" displayFolder="" count="0" memberValueDatatype="130" unbalanced="0"/>
    <cacheHierarchy uniqueName="[Range 1].[Salary]" caption="Salary" attribute="1" defaultMemberUniqueName="[Range 1].[Salary].[All]" allUniqueName="[Range 1].[Salary].[All]" dimensionUniqueName="[Range 1]" displayFolder="" count="0" memberValueDatatype="5" unbalanced="0"/>
    <cacheHierarchy uniqueName="[Range 1].[Date of Joining]" caption="Date of Joining" attribute="1" defaultMemberUniqueName="[Range 1].[Date of Joining].[All]" allUniqueName="[Range 1].[Date of Joining].[All]" dimensionUniqueName="[Range 1]" displayFolder="" count="0" memberValueDatatype="130" unbalanced="0"/>
    <cacheHierarchy uniqueName="[Range 1].[Performance Rating]" caption="Performance Rating" attribute="1" defaultMemberUniqueName="[Range 1].[Performance Rating].[All]" allUniqueName="[Range 1].[Performance Rating].[All]" dimensionUniqueName="[Range 1]" displayFolder="" count="0" memberValueDatatype="5" unbalanced="0"/>
    <cacheHierarchy uniqueName="[Range 1].[Gender]" caption="Gender" attribute="1" defaultMemberUniqueName="[Range 1].[Gender].[All]" allUniqueName="[Range 1].[Gender].[All]" dimensionUniqueName="[Range 1]" displayFolder="" count="0" memberValueDatatype="130" unbalanced="0"/>
    <cacheHierarchy uniqueName="[Range 2].[Employee ID]" caption="Employee ID" attribute="1" defaultMemberUniqueName="[Range 2].[Employee ID].[All]" allUniqueName="[Range 2].[Employee ID].[All]" dimensionUniqueName="[Range 2]" displayFolder="" count="0" memberValueDatatype="130" unbalanced="0"/>
    <cacheHierarchy uniqueName="[Range 2].[Name]" caption="Name" attribute="1" defaultMemberUniqueName="[Range 2].[Name].[All]" allUniqueName="[Range 2].[Name].[All]" dimensionUniqueName="[Range 2]" displayFolder="" count="2" memberValueDatatype="130" unbalanced="0"/>
    <cacheHierarchy uniqueName="[Range 2].[Department]" caption="Department" attribute="1" defaultMemberUniqueName="[Range 2].[Department].[All]" allUniqueName="[Range 2].[Department].[All]" dimensionUniqueName="[Range 2]" displayFolder="" count="0" memberValueDatatype="130" unbalanced="0"/>
    <cacheHierarchy uniqueName="[Range 2].[Country]" caption="Country" attribute="1" defaultMemberUniqueName="[Range 2].[Country].[All]" allUniqueName="[Range 2].[Country].[All]" dimensionUniqueName="[Range 2]" displayFolder="" count="0" memberValueDatatype="130" unbalanced="0"/>
    <cacheHierarchy uniqueName="[Range 2].[Salary]" caption="Salary" attribute="1" defaultMemberUniqueName="[Range 2].[Salary].[All]" allUniqueName="[Range 2].[Salary].[All]" dimensionUniqueName="[Range 2]" displayFolder="" count="0" memberValueDatatype="5" unbalanced="0"/>
    <cacheHierarchy uniqueName="[Range 2].[Date of Joining]" caption="Date of Joining" attribute="1" defaultMemberUniqueName="[Range 2].[Date of Joining].[All]" allUniqueName="[Range 2].[Date of Joining].[All]" dimensionUniqueName="[Range 2]" displayFolder="" count="0" memberValueDatatype="130" unbalanced="0"/>
    <cacheHierarchy uniqueName="[Range 2].[Performance Rating]" caption="Performance Rating" attribute="1" defaultMemberUniqueName="[Range 2].[Performance Rating].[All]" allUniqueName="[Range 2].[Performance Rating].[All]" dimensionUniqueName="[Range 2]" displayFolder="" count="0" memberValueDatatype="5" unbalanced="0"/>
    <cacheHierarchy uniqueName="[Range 2].[Gender]" caption="Gender" attribute="1" defaultMemberUniqueName="[Range 2].[Gender].[All]" allUniqueName="[Range 2].[Gender].[All]" dimensionUniqueName="[Range 2]" displayFolder="" count="0" memberValueDatatype="130" unbalanced="0"/>
    <cacheHierarchy uniqueName="[Table117  Employee ID   Gender].[Employee ID]" caption="Employee ID" attribute="1" defaultMemberUniqueName="[Table117  Employee ID   Gender].[Employee ID].[All]" allUniqueName="[Table117  Employee ID   Gender].[Employee ID].[All]" dimensionUniqueName="[Table117  Employee ID   Gender]" displayFolder="" count="2" memberValueDatatype="130" unbalanced="0">
      <fieldsUsage count="2">
        <fieldUsage x="-1"/>
        <fieldUsage x="2"/>
      </fieldsUsage>
    </cacheHierarchy>
    <cacheHierarchy uniqueName="[Table117  Employee ID   Gender].[Name]" caption="Name" attribute="1" defaultMemberUniqueName="[Table117  Employee ID   Gender].[Name].[All]" allUniqueName="[Table117  Employee ID   Gender].[Name].[All]" dimensionUniqueName="[Table117  Employee ID   Gender]" displayFolder="" count="0" memberValueDatatype="130" unbalanced="0"/>
    <cacheHierarchy uniqueName="[Table117  Employee ID   Gender].[Department]" caption="Department" attribute="1" defaultMemberUniqueName="[Table117  Employee ID   Gender].[Department].[All]" allUniqueName="[Table117  Employee ID   Gender].[Department].[All]" dimensionUniqueName="[Table117  Employee ID   Gender]" displayFolder="" count="0" memberValueDatatype="130" unbalanced="0"/>
    <cacheHierarchy uniqueName="[Table117  Employee ID   Gender].[Country]" caption="Country" attribute="1" defaultMemberUniqueName="[Table117  Employee ID   Gender].[Country].[All]" allUniqueName="[Table117  Employee ID   Gender].[Country].[All]" dimensionUniqueName="[Table117  Employee ID   Gender]" displayFolder="" count="0" memberValueDatatype="130" unbalanced="0"/>
    <cacheHierarchy uniqueName="[Table117  Employee ID   Gender].[Salary]" caption="Salary" attribute="1" defaultMemberUniqueName="[Table117  Employee ID   Gender].[Salary].[All]" allUniqueName="[Table117  Employee ID   Gender].[Salary].[All]" dimensionUniqueName="[Table117  Employee ID   Gender]" displayFolder="" count="0" memberValueDatatype="5" unbalanced="0"/>
    <cacheHierarchy uniqueName="[Table117  Employee ID   Gender].[Date of Joining]" caption="Date of Joining" attribute="1" defaultMemberUniqueName="[Table117  Employee ID   Gender].[Date of Joining].[All]" allUniqueName="[Table117  Employee ID   Gender].[Date of Joining].[All]" dimensionUniqueName="[Table117  Employee ID   Gender]" displayFolder="" count="0" memberValueDatatype="130" unbalanced="0"/>
    <cacheHierarchy uniqueName="[Table117  Employee ID   Gender].[Joined Month]" caption="Joined Month" attribute="1" defaultMemberUniqueName="[Table117  Employee ID   Gender].[Joined Month].[All]" allUniqueName="[Table117  Employee ID   Gender].[Joined Month].[All]" dimensionUniqueName="[Table117  Employee ID   Gender]" displayFolder="" count="2" memberValueDatatype="130" unbalanced="0">
      <fieldsUsage count="2">
        <fieldUsage x="-1"/>
        <fieldUsage x="0"/>
      </fieldsUsage>
    </cacheHierarchy>
    <cacheHierarchy uniqueName="[Table117  Employee ID   Gender].[Performance Rating]" caption="Performance Rating" attribute="1" defaultMemberUniqueName="[Table117  Employee ID   Gender].[Performance Rating].[All]" allUniqueName="[Table117  Employee ID   Gender].[Performance Rating].[All]" dimensionUniqueName="[Table117  Employee ID   Gender]" displayFolder="" count="0" memberValueDatatype="5" unbalanced="0"/>
    <cacheHierarchy uniqueName="[Table117  Employee ID   Gender].[Gender]" caption="Gender" attribute="1" defaultMemberUniqueName="[Table117  Employee ID   Gender].[Gender].[All]" allUniqueName="[Table117  Employee ID   Gender].[Gender].[All]" dimensionUniqueName="[Table117  Employee ID   Gender]" displayFolder="" count="0" memberValueDatatype="130" unbalanced="0"/>
    <cacheHierarchy uniqueName="[Measures].[__XL_Count Range]" caption="__XL_Count Range" measure="1" displayFolder="" measureGroup="Range" count="0" hidden="1"/>
    <cacheHierarchy uniqueName="[Measures].[__XL_Count Table117  Employee ID   Gender]" caption="__XL_Count Table117  Employee ID   Gender" measure="1" displayFolder="" measureGroup="Table117  Employee ID   Gender"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No measures defined]" caption="__No measures defined" measure="1" displayFolder="" count="0" hidden="1"/>
    <cacheHierarchy uniqueName="[Measures].[Sum of Performance Rating]" caption="Sum of Performance Rating" measure="1" displayFolder="" measureGroup="Range" count="0" hidden="1">
      <extLst>
        <ext xmlns:x15="http://schemas.microsoft.com/office/spreadsheetml/2010/11/main" uri="{B97F6D7D-B522-45F9-BDA1-12C45D357490}">
          <x15:cacheHierarchy aggregatedColumn="6"/>
        </ext>
      </extLst>
    </cacheHierarchy>
    <cacheHierarchy uniqueName="[Measures].[Max of Performance Rating]" caption="Max of Performance Rating" measure="1" displayFolder="" measureGroup="Range" count="0" hidden="1">
      <extLst>
        <ext xmlns:x15="http://schemas.microsoft.com/office/spreadsheetml/2010/11/main" uri="{B97F6D7D-B522-45F9-BDA1-12C45D357490}">
          <x15:cacheHierarchy aggregatedColumn="6"/>
        </ext>
      </extLst>
    </cacheHierarchy>
    <cacheHierarchy uniqueName="[Measures].[Sum of Salary]" caption="Sum of Salary" measure="1" displayFolder="" measureGroup="Range" count="0" hidden="1">
      <extLst>
        <ext xmlns:x15="http://schemas.microsoft.com/office/spreadsheetml/2010/11/main" uri="{B97F6D7D-B522-45F9-BDA1-12C45D357490}">
          <x15:cacheHierarchy aggregatedColumn="4"/>
        </ext>
      </extLst>
    </cacheHierarchy>
    <cacheHierarchy uniqueName="[Measures].[Average of Salary]" caption="Average of Salary" measure="1" displayFolder="" measureGroup="Range" count="0" hidden="1">
      <extLst>
        <ext xmlns:x15="http://schemas.microsoft.com/office/spreadsheetml/2010/11/main" uri="{B97F6D7D-B522-45F9-BDA1-12C45D357490}">
          <x15:cacheHierarchy aggregatedColumn="4"/>
        </ext>
      </extLst>
    </cacheHierarchy>
    <cacheHierarchy uniqueName="[Measures].[Count of Joined Month]" caption="Count of Joined Month" measure="1" displayFolder="" measureGroup="Table117  Employee ID   Gender" count="0" hidden="1">
      <extLst>
        <ext xmlns:x15="http://schemas.microsoft.com/office/spreadsheetml/2010/11/main" uri="{B97F6D7D-B522-45F9-BDA1-12C45D357490}">
          <x15:cacheHierarchy aggregatedColumn="30"/>
        </ext>
      </extLst>
    </cacheHierarchy>
    <cacheHierarchy uniqueName="[Measures].[Sum of Salary 2]" caption="Sum of Salary 2" measure="1" displayFolder="" measureGroup="Table117  Employee ID   Gender" count="0" hidden="1">
      <extLst>
        <ext xmlns:x15="http://schemas.microsoft.com/office/spreadsheetml/2010/11/main" uri="{B97F6D7D-B522-45F9-BDA1-12C45D357490}">
          <x15:cacheHierarchy aggregatedColumn="28"/>
        </ext>
      </extLst>
    </cacheHierarchy>
    <cacheHierarchy uniqueName="[Measures].[Min of Salary]" caption="Min of Salary" measure="1" displayFolder="" measureGroup="Table117  Employee ID   Gender" count="0" oneField="1" hidden="1">
      <fieldsUsage count="1">
        <fieldUsage x="1"/>
      </fieldsUsage>
      <extLst>
        <ext xmlns:x15="http://schemas.microsoft.com/office/spreadsheetml/2010/11/main" uri="{B97F6D7D-B522-45F9-BDA1-12C45D357490}">
          <x15:cacheHierarchy aggregatedColumn="28"/>
        </ext>
      </extLst>
    </cacheHierarchy>
    <cacheHierarchy uniqueName="[Measures].[Sum of Salary 3]" caption="Sum of Salary 3" measure="1" displayFolder="" measureGroup="Range 1" count="0" hidden="1">
      <extLst>
        <ext xmlns:x15="http://schemas.microsoft.com/office/spreadsheetml/2010/11/main" uri="{B97F6D7D-B522-45F9-BDA1-12C45D357490}">
          <x15:cacheHierarchy aggregatedColumn="12"/>
        </ext>
      </extLst>
    </cacheHierarchy>
    <cacheHierarchy uniqueName="[Measures].[Count of Name]" caption="Count of Name" measure="1" displayFolder="" measureGroup="Range 1" count="0" hidden="1">
      <extLst>
        <ext xmlns:x15="http://schemas.microsoft.com/office/spreadsheetml/2010/11/main" uri="{B97F6D7D-B522-45F9-BDA1-12C45D357490}">
          <x15:cacheHierarchy aggregatedColumn="9"/>
        </ext>
      </extLst>
    </cacheHierarchy>
    <cacheHierarchy uniqueName="[Measures].[Count of Employee ID]" caption="Count of Employee ID" measure="1" displayFolder="" measureGroup="Range 2" count="0" hidden="1">
      <extLst>
        <ext xmlns:x15="http://schemas.microsoft.com/office/spreadsheetml/2010/11/main" uri="{B97F6D7D-B522-45F9-BDA1-12C45D357490}">
          <x15:cacheHierarchy aggregatedColumn="16"/>
        </ext>
      </extLst>
    </cacheHierarchy>
    <cacheHierarchy uniqueName="[Measures].[Sum of Salary 4]" caption="Sum of Salary 4" measure="1" displayFolder="" measureGroup="Range 2" count="0" hidden="1">
      <extLst>
        <ext xmlns:x15="http://schemas.microsoft.com/office/spreadsheetml/2010/11/main" uri="{B97F6D7D-B522-45F9-BDA1-12C45D357490}">
          <x15:cacheHierarchy aggregatedColumn="20"/>
        </ext>
      </extLst>
    </cacheHierarchy>
    <cacheHierarchy uniqueName="[Measures].[Average of Salary 2]" caption="Average of Salary 2" measure="1" displayFolder="" measureGroup="Range 2" count="0" hidden="1">
      <extLst>
        <ext xmlns:x15="http://schemas.microsoft.com/office/spreadsheetml/2010/11/main" uri="{B97F6D7D-B522-45F9-BDA1-12C45D357490}">
          <x15:cacheHierarchy aggregatedColumn="20"/>
        </ext>
      </extLst>
    </cacheHierarchy>
    <cacheHierarchy uniqueName="[Measures].[Count of Employee ID 2]" caption="Count of Employee ID 2" measure="1" displayFolder="" measureGroup="Range" count="0" hidden="1">
      <extLst>
        <ext xmlns:x15="http://schemas.microsoft.com/office/spreadsheetml/2010/11/main" uri="{B97F6D7D-B522-45F9-BDA1-12C45D357490}">
          <x15:cacheHierarchy aggregatedColumn="0"/>
        </ext>
      </extLst>
    </cacheHierarchy>
    <cacheHierarchy uniqueName="[Measures].[Count of Department]" caption="Count of Department" measure="1" displayFolder="" measureGroup="Range" count="0" hidden="1">
      <extLst>
        <ext xmlns:x15="http://schemas.microsoft.com/office/spreadsheetml/2010/11/main" uri="{B97F6D7D-B522-45F9-BDA1-12C45D357490}">
          <x15:cacheHierarchy aggregatedColumn="2"/>
        </ext>
      </extLst>
    </cacheHierarchy>
  </cacheHierarchies>
  <kpis count="0"/>
  <dimensions count="5">
    <dimension measure="1" name="Measures" uniqueName="[Measures]" caption="Measures"/>
    <dimension name="Range" uniqueName="[Range]" caption="Range"/>
    <dimension name="Range 1" uniqueName="[Range 1]" caption="Range 1"/>
    <dimension name="Range 2" uniqueName="[Range 2]" caption="Range 2"/>
    <dimension name="Table117  Employee ID   Gender" uniqueName="[Table117  Employee ID   Gender]" caption="Table117  Employee ID   Gender"/>
  </dimensions>
  <measureGroups count="4">
    <measureGroup name="Range" caption="Range"/>
    <measureGroup name="Range 1" caption="Range 1"/>
    <measureGroup name="Range 2" caption="Range 2"/>
    <measureGroup name="Table117  Employee ID   Gender" caption="Table117  Employee ID   Gender"/>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ishna" refreshedDate="45978.209257060182" backgroundQuery="1" createdVersion="3" refreshedVersion="8" minRefreshableVersion="3" recordCount="0" supportSubquery="1" supportAdvancedDrill="1" xr:uid="{9725F72B-727E-4C91-BC80-3105F8829604}">
  <cacheSource type="external" connectionId="2">
    <extLst>
      <ext xmlns:x14="http://schemas.microsoft.com/office/spreadsheetml/2009/9/main" uri="{F057638F-6D5F-4e77-A914-E7F072B9BCA8}">
        <x14:sourceConnection name="ThisWorkbookDataModel"/>
      </ext>
    </extLst>
  </cacheSource>
  <cacheFields count="0"/>
  <cacheHierarchies count="52">
    <cacheHierarchy uniqueName="[Range].[Employee ID]" caption="Employee ID" attribute="1" defaultMemberUniqueName="[Range].[Employee ID].[All]" allUniqueName="[Range].[Employee ID].[All]" dimensionUniqueName="[Range]" displayFolder="" count="2" memberValueDatatype="130" unbalanced="0"/>
    <cacheHierarchy uniqueName="[Range].[Name]" caption="Name" attribute="1" defaultMemberUniqueName="[Range].[Name].[All]" allUniqueName="[Range].[Name].[All]" dimensionUniqueName="[Range]" displayFolder="" count="2" memberValueDatatype="130" unbalanced="0"/>
    <cacheHierarchy uniqueName="[Range].[Department]" caption="Department" attribute="1" defaultMemberUniqueName="[Range].[Department].[All]" allUniqueName="[Range].[Department].[All]" dimensionUniqueName="[Range]" displayFolder="" count="2" memberValueDatatype="130" unbalanced="0"/>
    <cacheHierarchy uniqueName="[Range].[Country]" caption="Country" attribute="1" defaultMemberUniqueName="[Range].[Country].[All]" allUniqueName="[Range].[Country].[All]" dimensionUniqueName="[Range]" displayFolder="" count="2" memberValueDatatype="130" unbalanced="0"/>
    <cacheHierarchy uniqueName="[Range].[Salary]" caption="Salary" attribute="1" defaultMemberUniqueName="[Range].[Salary].[All]" allUniqueName="[Range].[Salary].[All]" dimensionUniqueName="[Range]" displayFolder="" count="2" memberValueDatatype="5" unbalanced="0"/>
    <cacheHierarchy uniqueName="[Range].[Date of Joining]" caption="Date of Joining" attribute="1" defaultMemberUniqueName="[Range].[Date of Joining].[All]" allUniqueName="[Range].[Date of Joining].[All]" dimensionUniqueName="[Range]" displayFolder="" count="0" memberValueDatatype="130" unbalanced="0"/>
    <cacheHierarchy uniqueName="[Range].[Performance Rating]" caption="Performance Rating" attribute="1" defaultMemberUniqueName="[Range].[Performance Rating].[All]" allUniqueName="[Range].[Performance Rating].[All]" dimensionUniqueName="[Range]" displayFolder="" count="2" memberValueDatatype="5" unbalanced="0"/>
    <cacheHierarchy uniqueName="[Range].[Gender]" caption="Gender" attribute="1" defaultMemberUniqueName="[Range].[Gender].[All]" allUniqueName="[Range].[Gender].[All]" dimensionUniqueName="[Range]" displayFolder="" count="2" memberValueDatatype="130" unbalanced="0"/>
    <cacheHierarchy uniqueName="[Range 1].[Employee ID]" caption="Employee ID" attribute="1" defaultMemberUniqueName="[Range 1].[Employee ID].[All]" allUniqueName="[Range 1].[Employee ID].[All]" dimensionUniqueName="[Range 1]" displayFolder="" count="0" memberValueDatatype="130" unbalanced="0"/>
    <cacheHierarchy uniqueName="[Range 1].[Name]" caption="Name" attribute="1" defaultMemberUniqueName="[Range 1].[Name].[All]" allUniqueName="[Range 1].[Name].[All]" dimensionUniqueName="[Range 1]" displayFolder="" count="0" memberValueDatatype="130" unbalanced="0"/>
    <cacheHierarchy uniqueName="[Range 1].[Department]" caption="Department" attribute="1" defaultMemberUniqueName="[Range 1].[Department].[All]" allUniqueName="[Range 1].[Department].[All]" dimensionUniqueName="[Range 1]" displayFolder="" count="0" memberValueDatatype="130" unbalanced="0"/>
    <cacheHierarchy uniqueName="[Range 1].[Country]" caption="Country" attribute="1" defaultMemberUniqueName="[Range 1].[Country].[All]" allUniqueName="[Range 1].[Country].[All]" dimensionUniqueName="[Range 1]" displayFolder="" count="0" memberValueDatatype="130" unbalanced="0"/>
    <cacheHierarchy uniqueName="[Range 1].[Salary]" caption="Salary" attribute="1" defaultMemberUniqueName="[Range 1].[Salary].[All]" allUniqueName="[Range 1].[Salary].[All]" dimensionUniqueName="[Range 1]" displayFolder="" count="0" memberValueDatatype="5" unbalanced="0"/>
    <cacheHierarchy uniqueName="[Range 1].[Date of Joining]" caption="Date of Joining" attribute="1" defaultMemberUniqueName="[Range 1].[Date of Joining].[All]" allUniqueName="[Range 1].[Date of Joining].[All]" dimensionUniqueName="[Range 1]" displayFolder="" count="0" memberValueDatatype="130" unbalanced="0"/>
    <cacheHierarchy uniqueName="[Range 1].[Performance Rating]" caption="Performance Rating" attribute="1" defaultMemberUniqueName="[Range 1].[Performance Rating].[All]" allUniqueName="[Range 1].[Performance Rating].[All]" dimensionUniqueName="[Range 1]" displayFolder="" count="0" memberValueDatatype="5" unbalanced="0"/>
    <cacheHierarchy uniqueName="[Range 1].[Gender]" caption="Gender" attribute="1" defaultMemberUniqueName="[Range 1].[Gender].[All]" allUniqueName="[Range 1].[Gender].[All]" dimensionUniqueName="[Range 1]" displayFolder="" count="0" memberValueDatatype="130" unbalanced="0"/>
    <cacheHierarchy uniqueName="[Range 2].[Employee ID]" caption="Employee ID" attribute="1" defaultMemberUniqueName="[Range 2].[Employee ID].[All]" allUniqueName="[Range 2].[Employee ID].[All]" dimensionUniqueName="[Range 2]" displayFolder="" count="0" memberValueDatatype="130" unbalanced="0"/>
    <cacheHierarchy uniqueName="[Range 2].[Name]" caption="Name" attribute="1" defaultMemberUniqueName="[Range 2].[Name].[All]" allUniqueName="[Range 2].[Name].[All]" dimensionUniqueName="[Range 2]" displayFolder="" count="2" memberValueDatatype="130" unbalanced="0"/>
    <cacheHierarchy uniqueName="[Range 2].[Department]" caption="Department" attribute="1" defaultMemberUniqueName="[Range 2].[Department].[All]" allUniqueName="[Range 2].[Department].[All]" dimensionUniqueName="[Range 2]" displayFolder="" count="0" memberValueDatatype="130" unbalanced="0"/>
    <cacheHierarchy uniqueName="[Range 2].[Country]" caption="Country" attribute="1" defaultMemberUniqueName="[Range 2].[Country].[All]" allUniqueName="[Range 2].[Country].[All]" dimensionUniqueName="[Range 2]" displayFolder="" count="0" memberValueDatatype="130" unbalanced="0"/>
    <cacheHierarchy uniqueName="[Range 2].[Salary]" caption="Salary" attribute="1" defaultMemberUniqueName="[Range 2].[Salary].[All]" allUniqueName="[Range 2].[Salary].[All]" dimensionUniqueName="[Range 2]" displayFolder="" count="0" memberValueDatatype="5" unbalanced="0"/>
    <cacheHierarchy uniqueName="[Range 2].[Date of Joining]" caption="Date of Joining" attribute="1" defaultMemberUniqueName="[Range 2].[Date of Joining].[All]" allUniqueName="[Range 2].[Date of Joining].[All]" dimensionUniqueName="[Range 2]" displayFolder="" count="0" memberValueDatatype="130" unbalanced="0"/>
    <cacheHierarchy uniqueName="[Range 2].[Performance Rating]" caption="Performance Rating" attribute="1" defaultMemberUniqueName="[Range 2].[Performance Rating].[All]" allUniqueName="[Range 2].[Performance Rating].[All]" dimensionUniqueName="[Range 2]" displayFolder="" count="0" memberValueDatatype="5" unbalanced="0"/>
    <cacheHierarchy uniqueName="[Range 2].[Gender]" caption="Gender" attribute="1" defaultMemberUniqueName="[Range 2].[Gender].[All]" allUniqueName="[Range 2].[Gender].[All]" dimensionUniqueName="[Range 2]" displayFolder="" count="0" memberValueDatatype="130" unbalanced="0"/>
    <cacheHierarchy uniqueName="[Table117  Employee ID   Gender].[Employee ID]" caption="Employee ID" attribute="1" defaultMemberUniqueName="[Table117  Employee ID   Gender].[Employee ID].[All]" allUniqueName="[Table117  Employee ID   Gender].[Employee ID].[All]" dimensionUniqueName="[Table117  Employee ID   Gender]" displayFolder="" count="0" memberValueDatatype="130" unbalanced="0"/>
    <cacheHierarchy uniqueName="[Table117  Employee ID   Gender].[Name]" caption="Name" attribute="1" defaultMemberUniqueName="[Table117  Employee ID   Gender].[Name].[All]" allUniqueName="[Table117  Employee ID   Gender].[Name].[All]" dimensionUniqueName="[Table117  Employee ID   Gender]" displayFolder="" count="0" memberValueDatatype="130" unbalanced="0"/>
    <cacheHierarchy uniqueName="[Table117  Employee ID   Gender].[Department]" caption="Department" attribute="1" defaultMemberUniqueName="[Table117  Employee ID   Gender].[Department].[All]" allUniqueName="[Table117  Employee ID   Gender].[Department].[All]" dimensionUniqueName="[Table117  Employee ID   Gender]" displayFolder="" count="0" memberValueDatatype="130" unbalanced="0"/>
    <cacheHierarchy uniqueName="[Table117  Employee ID   Gender].[Country]" caption="Country" attribute="1" defaultMemberUniqueName="[Table117  Employee ID   Gender].[Country].[All]" allUniqueName="[Table117  Employee ID   Gender].[Country].[All]" dimensionUniqueName="[Table117  Employee ID   Gender]" displayFolder="" count="0" memberValueDatatype="130" unbalanced="0"/>
    <cacheHierarchy uniqueName="[Table117  Employee ID   Gender].[Salary]" caption="Salary" attribute="1" defaultMemberUniqueName="[Table117  Employee ID   Gender].[Salary].[All]" allUniqueName="[Table117  Employee ID   Gender].[Salary].[All]" dimensionUniqueName="[Table117  Employee ID   Gender]" displayFolder="" count="0" memberValueDatatype="5" unbalanced="0"/>
    <cacheHierarchy uniqueName="[Table117  Employee ID   Gender].[Date of Joining]" caption="Date of Joining" attribute="1" defaultMemberUniqueName="[Table117  Employee ID   Gender].[Date of Joining].[All]" allUniqueName="[Table117  Employee ID   Gender].[Date of Joining].[All]" dimensionUniqueName="[Table117  Employee ID   Gender]" displayFolder="" count="0" memberValueDatatype="130" unbalanced="0"/>
    <cacheHierarchy uniqueName="[Table117  Employee ID   Gender].[Joined Month]" caption="Joined Month" attribute="1" defaultMemberUniqueName="[Table117  Employee ID   Gender].[Joined Month].[All]" allUniqueName="[Table117  Employee ID   Gender].[Joined Month].[All]" dimensionUniqueName="[Table117  Employee ID   Gender]" displayFolder="" count="0" memberValueDatatype="130" unbalanced="0"/>
    <cacheHierarchy uniqueName="[Table117  Employee ID   Gender].[Performance Rating]" caption="Performance Rating" attribute="1" defaultMemberUniqueName="[Table117  Employee ID   Gender].[Performance Rating].[All]" allUniqueName="[Table117  Employee ID   Gender].[Performance Rating].[All]" dimensionUniqueName="[Table117  Employee ID   Gender]" displayFolder="" count="0" memberValueDatatype="5" unbalanced="0"/>
    <cacheHierarchy uniqueName="[Table117  Employee ID   Gender].[Gender]" caption="Gender" attribute="1" defaultMemberUniqueName="[Table117  Employee ID   Gender].[Gender].[All]" allUniqueName="[Table117  Employee ID   Gender].[Gender].[All]" dimensionUniqueName="[Table117  Employee ID   Gender]" displayFolder="" count="0" memberValueDatatype="130" unbalanced="0"/>
    <cacheHierarchy uniqueName="[Measures].[__XL_Count Range]" caption="__XL_Count Range" measure="1" displayFolder="" measureGroup="Range" count="0" hidden="1"/>
    <cacheHierarchy uniqueName="[Measures].[__XL_Count Table117  Employee ID   Gender]" caption="__XL_Count Table117  Employee ID   Gender" measure="1" displayFolder="" measureGroup="Table117  Employee ID   Gender"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No measures defined]" caption="__No measures defined" measure="1" displayFolder="" count="0" hidden="1"/>
    <cacheHierarchy uniqueName="[Measures].[Sum of Performance Rating]" caption="Sum of Performance Rating" measure="1" displayFolder="" measureGroup="Range" count="0" hidden="1">
      <extLst>
        <ext xmlns:x15="http://schemas.microsoft.com/office/spreadsheetml/2010/11/main" uri="{B97F6D7D-B522-45F9-BDA1-12C45D357490}">
          <x15:cacheHierarchy aggregatedColumn="6"/>
        </ext>
      </extLst>
    </cacheHierarchy>
    <cacheHierarchy uniqueName="[Measures].[Max of Performance Rating]" caption="Max of Performance Rating" measure="1" displayFolder="" measureGroup="Range" count="0" hidden="1">
      <extLst>
        <ext xmlns:x15="http://schemas.microsoft.com/office/spreadsheetml/2010/11/main" uri="{B97F6D7D-B522-45F9-BDA1-12C45D357490}">
          <x15:cacheHierarchy aggregatedColumn="6"/>
        </ext>
      </extLst>
    </cacheHierarchy>
    <cacheHierarchy uniqueName="[Measures].[Sum of Salary]" caption="Sum of Salary" measure="1" displayFolder="" measureGroup="Range" count="0" hidden="1">
      <extLst>
        <ext xmlns:x15="http://schemas.microsoft.com/office/spreadsheetml/2010/11/main" uri="{B97F6D7D-B522-45F9-BDA1-12C45D357490}">
          <x15:cacheHierarchy aggregatedColumn="4"/>
        </ext>
      </extLst>
    </cacheHierarchy>
    <cacheHierarchy uniqueName="[Measures].[Average of Salary]" caption="Average of Salary" measure="1" displayFolder="" measureGroup="Range" count="0" hidden="1">
      <extLst>
        <ext xmlns:x15="http://schemas.microsoft.com/office/spreadsheetml/2010/11/main" uri="{B97F6D7D-B522-45F9-BDA1-12C45D357490}">
          <x15:cacheHierarchy aggregatedColumn="4"/>
        </ext>
      </extLst>
    </cacheHierarchy>
    <cacheHierarchy uniqueName="[Measures].[Count of Joined Month]" caption="Count of Joined Month" measure="1" displayFolder="" measureGroup="Table117  Employee ID   Gender" count="0" hidden="1">
      <extLst>
        <ext xmlns:x15="http://schemas.microsoft.com/office/spreadsheetml/2010/11/main" uri="{B97F6D7D-B522-45F9-BDA1-12C45D357490}">
          <x15:cacheHierarchy aggregatedColumn="30"/>
        </ext>
      </extLst>
    </cacheHierarchy>
    <cacheHierarchy uniqueName="[Measures].[Sum of Salary 2]" caption="Sum of Salary 2" measure="1" displayFolder="" measureGroup="Table117  Employee ID   Gender" count="0" hidden="1">
      <extLst>
        <ext xmlns:x15="http://schemas.microsoft.com/office/spreadsheetml/2010/11/main" uri="{B97F6D7D-B522-45F9-BDA1-12C45D357490}">
          <x15:cacheHierarchy aggregatedColumn="28"/>
        </ext>
      </extLst>
    </cacheHierarchy>
    <cacheHierarchy uniqueName="[Measures].[Min of Salary]" caption="Min of Salary" measure="1" displayFolder="" measureGroup="Table117  Employee ID   Gender" count="0" hidden="1">
      <extLst>
        <ext xmlns:x15="http://schemas.microsoft.com/office/spreadsheetml/2010/11/main" uri="{B97F6D7D-B522-45F9-BDA1-12C45D357490}">
          <x15:cacheHierarchy aggregatedColumn="28"/>
        </ext>
      </extLst>
    </cacheHierarchy>
    <cacheHierarchy uniqueName="[Measures].[Sum of Salary 3]" caption="Sum of Salary 3" measure="1" displayFolder="" measureGroup="Range 1" count="0" hidden="1">
      <extLst>
        <ext xmlns:x15="http://schemas.microsoft.com/office/spreadsheetml/2010/11/main" uri="{B97F6D7D-B522-45F9-BDA1-12C45D357490}">
          <x15:cacheHierarchy aggregatedColumn="12"/>
        </ext>
      </extLst>
    </cacheHierarchy>
    <cacheHierarchy uniqueName="[Measures].[Count of Name]" caption="Count of Name" measure="1" displayFolder="" measureGroup="Range 1" count="0" hidden="1">
      <extLst>
        <ext xmlns:x15="http://schemas.microsoft.com/office/spreadsheetml/2010/11/main" uri="{B97F6D7D-B522-45F9-BDA1-12C45D357490}">
          <x15:cacheHierarchy aggregatedColumn="9"/>
        </ext>
      </extLst>
    </cacheHierarchy>
    <cacheHierarchy uniqueName="[Measures].[Count of Employee ID]" caption="Count of Employee ID" measure="1" displayFolder="" measureGroup="Range 2" count="0" hidden="1">
      <extLst>
        <ext xmlns:x15="http://schemas.microsoft.com/office/spreadsheetml/2010/11/main" uri="{B97F6D7D-B522-45F9-BDA1-12C45D357490}">
          <x15:cacheHierarchy aggregatedColumn="16"/>
        </ext>
      </extLst>
    </cacheHierarchy>
    <cacheHierarchy uniqueName="[Measures].[Sum of Salary 4]" caption="Sum of Salary 4" measure="1" displayFolder="" measureGroup="Range 2" count="0" hidden="1">
      <extLst>
        <ext xmlns:x15="http://schemas.microsoft.com/office/spreadsheetml/2010/11/main" uri="{B97F6D7D-B522-45F9-BDA1-12C45D357490}">
          <x15:cacheHierarchy aggregatedColumn="20"/>
        </ext>
      </extLst>
    </cacheHierarchy>
    <cacheHierarchy uniqueName="[Measures].[Average of Salary 2]" caption="Average of Salary 2" measure="1" displayFolder="" measureGroup="Range 2" count="0" hidden="1">
      <extLst>
        <ext xmlns:x15="http://schemas.microsoft.com/office/spreadsheetml/2010/11/main" uri="{B97F6D7D-B522-45F9-BDA1-12C45D357490}">
          <x15:cacheHierarchy aggregatedColumn="20"/>
        </ext>
      </extLst>
    </cacheHierarchy>
    <cacheHierarchy uniqueName="[Measures].[Count of Employee ID 2]" caption="Count of Employee ID 2" measure="1" displayFolder="" measureGroup="Range" count="0" hidden="1">
      <extLst>
        <ext xmlns:x15="http://schemas.microsoft.com/office/spreadsheetml/2010/11/main" uri="{B97F6D7D-B522-45F9-BDA1-12C45D357490}">
          <x15:cacheHierarchy aggregatedColumn="0"/>
        </ext>
      </extLst>
    </cacheHierarchy>
    <cacheHierarchy uniqueName="[Measures].[Count of Department]" caption="Count of Department" measure="1" displayFolder="" measureGroup="Range" count="0" hidden="1">
      <extLst>
        <ext xmlns:x15="http://schemas.microsoft.com/office/spreadsheetml/2010/11/main" uri="{B97F6D7D-B522-45F9-BDA1-12C45D357490}">
          <x15:cacheHierarchy aggregatedColumn="2"/>
        </ext>
      </extLst>
    </cacheHierarchy>
  </cacheHierarchies>
  <kpis count="0"/>
  <extLst>
    <ext xmlns:x14="http://schemas.microsoft.com/office/spreadsheetml/2009/9/main" uri="{725AE2AE-9491-48be-B2B4-4EB974FC3084}">
      <x14:pivotCacheDefinition slicerData="1" pivotCacheId="1997957655"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ishna" refreshedDate="45978.389194328702" backgroundQuery="1" createdVersion="8" refreshedVersion="8" minRefreshableVersion="3" recordCount="0" supportSubquery="1" supportAdvancedDrill="1" xr:uid="{4DA42EA9-2EF4-4DD2-BC4B-9763812A999F}">
  <cacheSource type="external" connectionId="2">
    <extLst>
      <ext xmlns:x14="http://schemas.microsoft.com/office/spreadsheetml/2009/9/main" uri="{F057638F-6D5F-4e77-A914-E7F072B9BCA8}">
        <x14:sourceConnection name="ThisWorkbookDataModel"/>
      </ext>
    </extLst>
  </cacheSource>
  <cacheFields count="3">
    <cacheField name="[Range 2].[Department].[Department]" caption="Department" numFmtId="0" hierarchy="18" level="1">
      <sharedItems count="6">
        <s v="Finance"/>
        <s v="HR"/>
        <s v="IT"/>
        <s v="Marketing"/>
        <s v="Sales"/>
        <s v="Unknown"/>
      </sharedItems>
    </cacheField>
    <cacheField name="[Measures].[Count of Employee ID]" caption="Count of Employee ID" numFmtId="0" hierarchy="47" level="32767"/>
    <cacheField name="[Range].[Employee ID].[Employee ID]" caption="Employee ID" numFmtId="0" level="1">
      <sharedItems containsSemiMixedTypes="0" containsNonDate="0" containsString="0"/>
    </cacheField>
  </cacheFields>
  <cacheHierarchies count="52">
    <cacheHierarchy uniqueName="[Range].[Employee ID]" caption="Employee ID" attribute="1" defaultMemberUniqueName="[Range].[Employee ID].[All]" allUniqueName="[Range].[Employee ID].[All]" dimensionUniqueName="[Range]" displayFolder="" count="2" memberValueDatatype="130" unbalanced="0">
      <fieldsUsage count="2">
        <fieldUsage x="-1"/>
        <fieldUsage x="2"/>
      </fieldsUsage>
    </cacheHierarchy>
    <cacheHierarchy uniqueName="[Range].[Name]" caption="Name" attribute="1" defaultMemberUniqueName="[Range].[Name].[All]" allUniqueName="[Range].[Name].[All]" dimensionUniqueName="[Range]" displayFolder="" count="2" memberValueDatatype="130" unbalanced="0"/>
    <cacheHierarchy uniqueName="[Range].[Department]" caption="Department" attribute="1" defaultMemberUniqueName="[Range].[Department].[All]" allUniqueName="[Range].[Department].[All]" dimensionUniqueName="[Range]" displayFolder="" count="2" memberValueDatatype="130" unbalanced="0"/>
    <cacheHierarchy uniqueName="[Range].[Country]" caption="Country" attribute="1" defaultMemberUniqueName="[Range].[Country].[All]" allUniqueName="[Range].[Country].[All]" dimensionUniqueName="[Range]" displayFolder="" count="2" memberValueDatatype="130" unbalanced="0"/>
    <cacheHierarchy uniqueName="[Range].[Salary]" caption="Salary" attribute="1" defaultMemberUniqueName="[Range].[Salary].[All]" allUniqueName="[Range].[Salary].[All]" dimensionUniqueName="[Range]" displayFolder="" count="2" memberValueDatatype="5" unbalanced="0"/>
    <cacheHierarchy uniqueName="[Range].[Date of Joining]" caption="Date of Joining" attribute="1" defaultMemberUniqueName="[Range].[Date of Joining].[All]" allUniqueName="[Range].[Date of Joining].[All]" dimensionUniqueName="[Range]" displayFolder="" count="2" memberValueDatatype="130" unbalanced="0"/>
    <cacheHierarchy uniqueName="[Range].[Performance Rating]" caption="Performance Rating" attribute="1" defaultMemberUniqueName="[Range].[Performance Rating].[All]" allUniqueName="[Range].[Performance Rating].[All]" dimensionUniqueName="[Range]" displayFolder="" count="2" memberValueDatatype="5" unbalanced="0"/>
    <cacheHierarchy uniqueName="[Range].[Gender]" caption="Gender" attribute="1" defaultMemberUniqueName="[Range].[Gender].[All]" allUniqueName="[Range].[Gender].[All]" dimensionUniqueName="[Range]" displayFolder="" count="2" memberValueDatatype="130" unbalanced="0"/>
    <cacheHierarchy uniqueName="[Range 1].[Employee ID]" caption="Employee ID" attribute="1" defaultMemberUniqueName="[Range 1].[Employee ID].[All]" allUniqueName="[Range 1].[Employee ID].[All]" dimensionUniqueName="[Range 1]" displayFolder="" count="2" memberValueDatatype="130" unbalanced="0"/>
    <cacheHierarchy uniqueName="[Range 1].[Name]" caption="Name" attribute="1" defaultMemberUniqueName="[Range 1].[Name].[All]" allUniqueName="[Range 1].[Name].[All]" dimensionUniqueName="[Range 1]" displayFolder="" count="2" memberValueDatatype="130" unbalanced="0"/>
    <cacheHierarchy uniqueName="[Range 1].[Department]" caption="Department" attribute="1" defaultMemberUniqueName="[Range 1].[Department].[All]" allUniqueName="[Range 1].[Department].[All]" dimensionUniqueName="[Range 1]" displayFolder="" count="2" memberValueDatatype="130" unbalanced="0"/>
    <cacheHierarchy uniqueName="[Range 1].[Country]" caption="Country" attribute="1" defaultMemberUniqueName="[Range 1].[Country].[All]" allUniqueName="[Range 1].[Country].[All]" dimensionUniqueName="[Range 1]" displayFolder="" count="2" memberValueDatatype="130" unbalanced="0"/>
    <cacheHierarchy uniqueName="[Range 1].[Salary]" caption="Salary" attribute="1" defaultMemberUniqueName="[Range 1].[Salary].[All]" allUniqueName="[Range 1].[Salary].[All]" dimensionUniqueName="[Range 1]" displayFolder="" count="2" memberValueDatatype="5" unbalanced="0"/>
    <cacheHierarchy uniqueName="[Range 1].[Date of Joining]" caption="Date of Joining" attribute="1" defaultMemberUniqueName="[Range 1].[Date of Joining].[All]" allUniqueName="[Range 1].[Date of Joining].[All]" dimensionUniqueName="[Range 1]" displayFolder="" count="2" memberValueDatatype="130" unbalanced="0"/>
    <cacheHierarchy uniqueName="[Range 1].[Performance Rating]" caption="Performance Rating" attribute="1" defaultMemberUniqueName="[Range 1].[Performance Rating].[All]" allUniqueName="[Range 1].[Performance Rating].[All]" dimensionUniqueName="[Range 1]" displayFolder="" count="2" memberValueDatatype="5" unbalanced="0"/>
    <cacheHierarchy uniqueName="[Range 1].[Gender]" caption="Gender" attribute="1" defaultMemberUniqueName="[Range 1].[Gender].[All]" allUniqueName="[Range 1].[Gender].[All]" dimensionUniqueName="[Range 1]" displayFolder="" count="2" memberValueDatatype="130" unbalanced="0"/>
    <cacheHierarchy uniqueName="[Range 2].[Employee ID]" caption="Employee ID" attribute="1" defaultMemberUniqueName="[Range 2].[Employee ID].[All]" allUniqueName="[Range 2].[Employee ID].[All]" dimensionUniqueName="[Range 2]" displayFolder="" count="2" memberValueDatatype="130" unbalanced="0"/>
    <cacheHierarchy uniqueName="[Range 2].[Name]" caption="Name" attribute="1" defaultMemberUniqueName="[Range 2].[Name].[All]" allUniqueName="[Range 2].[Name].[All]" dimensionUniqueName="[Range 2]" displayFolder="" count="2" memberValueDatatype="130" unbalanced="0"/>
    <cacheHierarchy uniqueName="[Range 2].[Department]" caption="Department" attribute="1" defaultMemberUniqueName="[Range 2].[Department].[All]" allUniqueName="[Range 2].[Department].[All]" dimensionUniqueName="[Range 2]" displayFolder="" count="2" memberValueDatatype="130" unbalanced="0">
      <fieldsUsage count="2">
        <fieldUsage x="-1"/>
        <fieldUsage x="0"/>
      </fieldsUsage>
    </cacheHierarchy>
    <cacheHierarchy uniqueName="[Range 2].[Country]" caption="Country" attribute="1" defaultMemberUniqueName="[Range 2].[Country].[All]" allUniqueName="[Range 2].[Country].[All]" dimensionUniqueName="[Range 2]" displayFolder="" count="2" memberValueDatatype="130" unbalanced="0"/>
    <cacheHierarchy uniqueName="[Range 2].[Salary]" caption="Salary" attribute="1" defaultMemberUniqueName="[Range 2].[Salary].[All]" allUniqueName="[Range 2].[Salary].[All]" dimensionUniqueName="[Range 2]" displayFolder="" count="2" memberValueDatatype="5" unbalanced="0"/>
    <cacheHierarchy uniqueName="[Range 2].[Date of Joining]" caption="Date of Joining" attribute="1" defaultMemberUniqueName="[Range 2].[Date of Joining].[All]" allUniqueName="[Range 2].[Date of Joining].[All]" dimensionUniqueName="[Range 2]" displayFolder="" count="2" memberValueDatatype="130" unbalanced="0"/>
    <cacheHierarchy uniqueName="[Range 2].[Performance Rating]" caption="Performance Rating" attribute="1" defaultMemberUniqueName="[Range 2].[Performance Rating].[All]" allUniqueName="[Range 2].[Performance Rating].[All]" dimensionUniqueName="[Range 2]" displayFolder="" count="2" memberValueDatatype="5" unbalanced="0"/>
    <cacheHierarchy uniqueName="[Range 2].[Gender]" caption="Gender" attribute="1" defaultMemberUniqueName="[Range 2].[Gender].[All]" allUniqueName="[Range 2].[Gender].[All]" dimensionUniqueName="[Range 2]" displayFolder="" count="2" memberValueDatatype="130" unbalanced="0"/>
    <cacheHierarchy uniqueName="[Table117  Employee ID   Gender].[Employee ID]" caption="Employee ID" attribute="1" defaultMemberUniqueName="[Table117  Employee ID   Gender].[Employee ID].[All]" allUniqueName="[Table117  Employee ID   Gender].[Employee ID].[All]" dimensionUniqueName="[Table117  Employee ID   Gender]" displayFolder="" count="2" memberValueDatatype="130" unbalanced="0"/>
    <cacheHierarchy uniqueName="[Table117  Employee ID   Gender].[Name]" caption="Name" attribute="1" defaultMemberUniqueName="[Table117  Employee ID   Gender].[Name].[All]" allUniqueName="[Table117  Employee ID   Gender].[Name].[All]" dimensionUniqueName="[Table117  Employee ID   Gender]" displayFolder="" count="2" memberValueDatatype="130" unbalanced="0"/>
    <cacheHierarchy uniqueName="[Table117  Employee ID   Gender].[Department]" caption="Department" attribute="1" defaultMemberUniqueName="[Table117  Employee ID   Gender].[Department].[All]" allUniqueName="[Table117  Employee ID   Gender].[Department].[All]" dimensionUniqueName="[Table117  Employee ID   Gender]" displayFolder="" count="2" memberValueDatatype="130" unbalanced="0"/>
    <cacheHierarchy uniqueName="[Table117  Employee ID   Gender].[Country]" caption="Country" attribute="1" defaultMemberUniqueName="[Table117  Employee ID   Gender].[Country].[All]" allUniqueName="[Table117  Employee ID   Gender].[Country].[All]" dimensionUniqueName="[Table117  Employee ID   Gender]" displayFolder="" count="2" memberValueDatatype="130" unbalanced="0"/>
    <cacheHierarchy uniqueName="[Table117  Employee ID   Gender].[Salary]" caption="Salary" attribute="1" defaultMemberUniqueName="[Table117  Employee ID   Gender].[Salary].[All]" allUniqueName="[Table117  Employee ID   Gender].[Salary].[All]" dimensionUniqueName="[Table117  Employee ID   Gender]" displayFolder="" count="2" memberValueDatatype="5" unbalanced="0"/>
    <cacheHierarchy uniqueName="[Table117  Employee ID   Gender].[Date of Joining]" caption="Date of Joining" attribute="1" defaultMemberUniqueName="[Table117  Employee ID   Gender].[Date of Joining].[All]" allUniqueName="[Table117  Employee ID   Gender].[Date of Joining].[All]" dimensionUniqueName="[Table117  Employee ID   Gender]" displayFolder="" count="2" memberValueDatatype="130" unbalanced="0"/>
    <cacheHierarchy uniqueName="[Table117  Employee ID   Gender].[Joined Month]" caption="Joined Month" attribute="1" defaultMemberUniqueName="[Table117  Employee ID   Gender].[Joined Month].[All]" allUniqueName="[Table117  Employee ID   Gender].[Joined Month].[All]" dimensionUniqueName="[Table117  Employee ID   Gender]" displayFolder="" count="2" memberValueDatatype="130" unbalanced="0"/>
    <cacheHierarchy uniqueName="[Table117  Employee ID   Gender].[Performance Rating]" caption="Performance Rating" attribute="1" defaultMemberUniqueName="[Table117  Employee ID   Gender].[Performance Rating].[All]" allUniqueName="[Table117  Employee ID   Gender].[Performance Rating].[All]" dimensionUniqueName="[Table117  Employee ID   Gender]" displayFolder="" count="2" memberValueDatatype="5" unbalanced="0"/>
    <cacheHierarchy uniqueName="[Table117  Employee ID   Gender].[Gender]" caption="Gender" attribute="1" defaultMemberUniqueName="[Table117  Employee ID   Gender].[Gender].[All]" allUniqueName="[Table117  Employee ID   Gender].[Gender].[All]" dimensionUniqueName="[Table117  Employee ID   Gender]" displayFolder="" count="2" memberValueDatatype="130" unbalanced="0"/>
    <cacheHierarchy uniqueName="[Measures].[__XL_Count Range]" caption="__XL_Count Range" measure="1" displayFolder="" measureGroup="Range" count="0" hidden="1"/>
    <cacheHierarchy uniqueName="[Measures].[__XL_Count Table117  Employee ID   Gender]" caption="__XL_Count Table117  Employee ID   Gender" measure="1" displayFolder="" measureGroup="Table117  Employee ID   Gender"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No measures defined]" caption="__No measures defined" measure="1" displayFolder="" count="0" hidden="1"/>
    <cacheHierarchy uniqueName="[Measures].[Sum of Performance Rating]" caption="Sum of Performance Rating" measure="1" displayFolder="" measureGroup="Range" count="0" hidden="1">
      <extLst>
        <ext xmlns:x15="http://schemas.microsoft.com/office/spreadsheetml/2010/11/main" uri="{B97F6D7D-B522-45F9-BDA1-12C45D357490}">
          <x15:cacheHierarchy aggregatedColumn="6"/>
        </ext>
      </extLst>
    </cacheHierarchy>
    <cacheHierarchy uniqueName="[Measures].[Max of Performance Rating]" caption="Max of Performance Rating" measure="1" displayFolder="" measureGroup="Range" count="0" hidden="1">
      <extLst>
        <ext xmlns:x15="http://schemas.microsoft.com/office/spreadsheetml/2010/11/main" uri="{B97F6D7D-B522-45F9-BDA1-12C45D357490}">
          <x15:cacheHierarchy aggregatedColumn="6"/>
        </ext>
      </extLst>
    </cacheHierarchy>
    <cacheHierarchy uniqueName="[Measures].[Sum of Salary]" caption="Sum of Salary" measure="1" displayFolder="" measureGroup="Range" count="0" hidden="1">
      <extLst>
        <ext xmlns:x15="http://schemas.microsoft.com/office/spreadsheetml/2010/11/main" uri="{B97F6D7D-B522-45F9-BDA1-12C45D357490}">
          <x15:cacheHierarchy aggregatedColumn="4"/>
        </ext>
      </extLst>
    </cacheHierarchy>
    <cacheHierarchy uniqueName="[Measures].[Average of Salary]" caption="Average of Salary" measure="1" displayFolder="" measureGroup="Range" count="0" hidden="1">
      <extLst>
        <ext xmlns:x15="http://schemas.microsoft.com/office/spreadsheetml/2010/11/main" uri="{B97F6D7D-B522-45F9-BDA1-12C45D357490}">
          <x15:cacheHierarchy aggregatedColumn="4"/>
        </ext>
      </extLst>
    </cacheHierarchy>
    <cacheHierarchy uniqueName="[Measures].[Count of Joined Month]" caption="Count of Joined Month" measure="1" displayFolder="" measureGroup="Table117  Employee ID   Gender" count="0" hidden="1">
      <extLst>
        <ext xmlns:x15="http://schemas.microsoft.com/office/spreadsheetml/2010/11/main" uri="{B97F6D7D-B522-45F9-BDA1-12C45D357490}">
          <x15:cacheHierarchy aggregatedColumn="30"/>
        </ext>
      </extLst>
    </cacheHierarchy>
    <cacheHierarchy uniqueName="[Measures].[Sum of Salary 2]" caption="Sum of Salary 2" measure="1" displayFolder="" measureGroup="Table117  Employee ID   Gender" count="0" hidden="1">
      <extLst>
        <ext xmlns:x15="http://schemas.microsoft.com/office/spreadsheetml/2010/11/main" uri="{B97F6D7D-B522-45F9-BDA1-12C45D357490}">
          <x15:cacheHierarchy aggregatedColumn="28"/>
        </ext>
      </extLst>
    </cacheHierarchy>
    <cacheHierarchy uniqueName="[Measures].[Min of Salary]" caption="Min of Salary" measure="1" displayFolder="" measureGroup="Table117  Employee ID   Gender" count="0" hidden="1">
      <extLst>
        <ext xmlns:x15="http://schemas.microsoft.com/office/spreadsheetml/2010/11/main" uri="{B97F6D7D-B522-45F9-BDA1-12C45D357490}">
          <x15:cacheHierarchy aggregatedColumn="28"/>
        </ext>
      </extLst>
    </cacheHierarchy>
    <cacheHierarchy uniqueName="[Measures].[Sum of Salary 3]" caption="Sum of Salary 3" measure="1" displayFolder="" measureGroup="Range 1" count="0" hidden="1">
      <extLst>
        <ext xmlns:x15="http://schemas.microsoft.com/office/spreadsheetml/2010/11/main" uri="{B97F6D7D-B522-45F9-BDA1-12C45D357490}">
          <x15:cacheHierarchy aggregatedColumn="12"/>
        </ext>
      </extLst>
    </cacheHierarchy>
    <cacheHierarchy uniqueName="[Measures].[Count of Name]" caption="Count of Name" measure="1" displayFolder="" measureGroup="Range 1" count="0" hidden="1">
      <extLst>
        <ext xmlns:x15="http://schemas.microsoft.com/office/spreadsheetml/2010/11/main" uri="{B97F6D7D-B522-45F9-BDA1-12C45D357490}">
          <x15:cacheHierarchy aggregatedColumn="9"/>
        </ext>
      </extLst>
    </cacheHierarchy>
    <cacheHierarchy uniqueName="[Measures].[Count of Employee ID]" caption="Count of Employee ID" measure="1" displayFolder="" measureGroup="Range 2" count="0" oneField="1" hidden="1">
      <fieldsUsage count="1">
        <fieldUsage x="1"/>
      </fieldsUsage>
      <extLst>
        <ext xmlns:x15="http://schemas.microsoft.com/office/spreadsheetml/2010/11/main" uri="{B97F6D7D-B522-45F9-BDA1-12C45D357490}">
          <x15:cacheHierarchy aggregatedColumn="16"/>
        </ext>
      </extLst>
    </cacheHierarchy>
    <cacheHierarchy uniqueName="[Measures].[Sum of Salary 4]" caption="Sum of Salary 4" measure="1" displayFolder="" measureGroup="Range 2" count="0" hidden="1">
      <extLst>
        <ext xmlns:x15="http://schemas.microsoft.com/office/spreadsheetml/2010/11/main" uri="{B97F6D7D-B522-45F9-BDA1-12C45D357490}">
          <x15:cacheHierarchy aggregatedColumn="20"/>
        </ext>
      </extLst>
    </cacheHierarchy>
    <cacheHierarchy uniqueName="[Measures].[Average of Salary 2]" caption="Average of Salary 2" measure="1" displayFolder="" measureGroup="Range 2" count="0" hidden="1">
      <extLst>
        <ext xmlns:x15="http://schemas.microsoft.com/office/spreadsheetml/2010/11/main" uri="{B97F6D7D-B522-45F9-BDA1-12C45D357490}">
          <x15:cacheHierarchy aggregatedColumn="20"/>
        </ext>
      </extLst>
    </cacheHierarchy>
    <cacheHierarchy uniqueName="[Measures].[Count of Employee ID 2]" caption="Count of Employee ID 2" measure="1" displayFolder="" measureGroup="Range" count="0" hidden="1">
      <extLst>
        <ext xmlns:x15="http://schemas.microsoft.com/office/spreadsheetml/2010/11/main" uri="{B97F6D7D-B522-45F9-BDA1-12C45D357490}">
          <x15:cacheHierarchy aggregatedColumn="0"/>
        </ext>
      </extLst>
    </cacheHierarchy>
    <cacheHierarchy uniqueName="[Measures].[Count of Department]" caption="Count of Department" measure="1" displayFolder="" measureGroup="Range" count="0" hidden="1">
      <extLst>
        <ext xmlns:x15="http://schemas.microsoft.com/office/spreadsheetml/2010/11/main" uri="{B97F6D7D-B522-45F9-BDA1-12C45D357490}">
          <x15:cacheHierarchy aggregatedColumn="2"/>
        </ext>
      </extLst>
    </cacheHierarchy>
  </cacheHierarchies>
  <kpis count="0"/>
  <dimensions count="5">
    <dimension measure="1" name="Measures" uniqueName="[Measures]" caption="Measures"/>
    <dimension name="Range" uniqueName="[Range]" caption="Range"/>
    <dimension name="Range 1" uniqueName="[Range 1]" caption="Range 1"/>
    <dimension name="Range 2" uniqueName="[Range 2]" caption="Range 2"/>
    <dimension name="Table117  Employee ID   Gender" uniqueName="[Table117  Employee ID   Gender]" caption="Table117  Employee ID   Gender"/>
  </dimensions>
  <measureGroups count="4">
    <measureGroup name="Range" caption="Range"/>
    <measureGroup name="Range 1" caption="Range 1"/>
    <measureGroup name="Range 2" caption="Range 2"/>
    <measureGroup name="Table117  Employee ID   Gender" caption="Table117  Employee ID   Gender"/>
  </measureGroups>
  <maps count="4">
    <map measureGroup="0" dimension="1"/>
    <map measureGroup="1" dimension="2"/>
    <map measureGroup="2" dimension="3"/>
    <map measureGroup="3" dimension="4"/>
  </maps>
  <extLst>
    <ext xmlns:x14="http://schemas.microsoft.com/office/spreadsheetml/2009/9/main" uri="{725AE2AE-9491-48be-B2B4-4EB974FC3084}">
      <x14:pivotCacheDefinition pivotCacheId="1293741638"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ishna" refreshedDate="45978.38919490741" backgroundQuery="1" createdVersion="8" refreshedVersion="8" minRefreshableVersion="3" recordCount="0" supportSubquery="1" supportAdvancedDrill="1" xr:uid="{D29E6BAC-D21B-4BC0-8725-3E3514940A98}">
  <cacheSource type="external" connectionId="2">
    <extLst>
      <ext xmlns:x14="http://schemas.microsoft.com/office/spreadsheetml/2009/9/main" uri="{F057638F-6D5F-4e77-A914-E7F072B9BCA8}">
        <x14:sourceConnection name="ThisWorkbookDataModel"/>
      </ext>
    </extLst>
  </cacheSource>
  <cacheFields count="4">
    <cacheField name="[Range 2].[Country].[Country]" caption="Country" numFmtId="0" hierarchy="19" level="1">
      <sharedItems count="6">
        <s v="Australia"/>
        <s v="Germany"/>
        <s v="India"/>
        <s v="UK"/>
        <s v="Unknown"/>
        <s v="USA"/>
      </sharedItems>
    </cacheField>
    <cacheField name="[Measures].[Average of Salary 2]" caption="Average of Salary 2" numFmtId="0" hierarchy="49" level="32767"/>
    <cacheField name="[Range].[Employee ID].[Employee ID]" caption="Employee ID" numFmtId="0" level="1">
      <sharedItems containsSemiMixedTypes="0" containsNonDate="0" containsString="0"/>
    </cacheField>
    <cacheField name="[Range].[Gender].[Gender]" caption="Gender" numFmtId="0" hierarchy="7" level="1">
      <sharedItems containsSemiMixedTypes="0" containsNonDate="0" containsString="0"/>
    </cacheField>
  </cacheFields>
  <cacheHierarchies count="52">
    <cacheHierarchy uniqueName="[Range].[Employee ID]" caption="Employee ID" attribute="1" defaultMemberUniqueName="[Range].[Employee ID].[All]" allUniqueName="[Range].[Employee ID].[All]" dimensionUniqueName="[Range]" displayFolder="" count="2" memberValueDatatype="130" unbalanced="0">
      <fieldsUsage count="2">
        <fieldUsage x="-1"/>
        <fieldUsage x="2"/>
      </fieldsUsage>
    </cacheHierarchy>
    <cacheHierarchy uniqueName="[Range].[Name]" caption="Name" attribute="1" defaultMemberUniqueName="[Range].[Name].[All]" allUniqueName="[Range].[Name].[All]" dimensionUniqueName="[Range]" displayFolder="" count="2" memberValueDatatype="130" unbalanced="0"/>
    <cacheHierarchy uniqueName="[Range].[Department]" caption="Department" attribute="1" defaultMemberUniqueName="[Range].[Department].[All]" allUniqueName="[Range].[Department].[All]" dimensionUniqueName="[Range]" displayFolder="" count="2" memberValueDatatype="130" unbalanced="0"/>
    <cacheHierarchy uniqueName="[Range].[Country]" caption="Country" attribute="1" defaultMemberUniqueName="[Range].[Country].[All]" allUniqueName="[Range].[Country].[All]" dimensionUniqueName="[Range]" displayFolder="" count="2" memberValueDatatype="130" unbalanced="0"/>
    <cacheHierarchy uniqueName="[Range].[Salary]" caption="Salary" attribute="1" defaultMemberUniqueName="[Range].[Salary].[All]" allUniqueName="[Range].[Salary].[All]" dimensionUniqueName="[Range]" displayFolder="" count="2" memberValueDatatype="5" unbalanced="0"/>
    <cacheHierarchy uniqueName="[Range].[Date of Joining]" caption="Date of Joining" attribute="1" defaultMemberUniqueName="[Range].[Date of Joining].[All]" allUniqueName="[Range].[Date of Joining].[All]" dimensionUniqueName="[Range]" displayFolder="" count="2" memberValueDatatype="130" unbalanced="0"/>
    <cacheHierarchy uniqueName="[Range].[Performance Rating]" caption="Performance Rating" attribute="1" defaultMemberUniqueName="[Range].[Performance Rating].[All]" allUniqueName="[Range].[Performance Rating].[All]" dimensionUniqueName="[Range]" displayFolder="" count="2" memberValueDatatype="5" unbalanced="0"/>
    <cacheHierarchy uniqueName="[Range].[Gender]" caption="Gender" attribute="1" defaultMemberUniqueName="[Range].[Gender].[All]" allUniqueName="[Range].[Gender].[All]" dimensionUniqueName="[Range]" displayFolder="" count="2" memberValueDatatype="130" unbalanced="0">
      <fieldsUsage count="2">
        <fieldUsage x="-1"/>
        <fieldUsage x="3"/>
      </fieldsUsage>
    </cacheHierarchy>
    <cacheHierarchy uniqueName="[Range 1].[Employee ID]" caption="Employee ID" attribute="1" defaultMemberUniqueName="[Range 1].[Employee ID].[All]" allUniqueName="[Range 1].[Employee ID].[All]" dimensionUniqueName="[Range 1]" displayFolder="" count="2" memberValueDatatype="130" unbalanced="0"/>
    <cacheHierarchy uniqueName="[Range 1].[Name]" caption="Name" attribute="1" defaultMemberUniqueName="[Range 1].[Name].[All]" allUniqueName="[Range 1].[Name].[All]" dimensionUniqueName="[Range 1]" displayFolder="" count="2" memberValueDatatype="130" unbalanced="0"/>
    <cacheHierarchy uniqueName="[Range 1].[Department]" caption="Department" attribute="1" defaultMemberUniqueName="[Range 1].[Department].[All]" allUniqueName="[Range 1].[Department].[All]" dimensionUniqueName="[Range 1]" displayFolder="" count="2" memberValueDatatype="130" unbalanced="0"/>
    <cacheHierarchy uniqueName="[Range 1].[Country]" caption="Country" attribute="1" defaultMemberUniqueName="[Range 1].[Country].[All]" allUniqueName="[Range 1].[Country].[All]" dimensionUniqueName="[Range 1]" displayFolder="" count="2" memberValueDatatype="130" unbalanced="0"/>
    <cacheHierarchy uniqueName="[Range 1].[Salary]" caption="Salary" attribute="1" defaultMemberUniqueName="[Range 1].[Salary].[All]" allUniqueName="[Range 1].[Salary].[All]" dimensionUniqueName="[Range 1]" displayFolder="" count="2" memberValueDatatype="5" unbalanced="0"/>
    <cacheHierarchy uniqueName="[Range 1].[Date of Joining]" caption="Date of Joining" attribute="1" defaultMemberUniqueName="[Range 1].[Date of Joining].[All]" allUniqueName="[Range 1].[Date of Joining].[All]" dimensionUniqueName="[Range 1]" displayFolder="" count="2" memberValueDatatype="130" unbalanced="0"/>
    <cacheHierarchy uniqueName="[Range 1].[Performance Rating]" caption="Performance Rating" attribute="1" defaultMemberUniqueName="[Range 1].[Performance Rating].[All]" allUniqueName="[Range 1].[Performance Rating].[All]" dimensionUniqueName="[Range 1]" displayFolder="" count="2" memberValueDatatype="5" unbalanced="0"/>
    <cacheHierarchy uniqueName="[Range 1].[Gender]" caption="Gender" attribute="1" defaultMemberUniqueName="[Range 1].[Gender].[All]" allUniqueName="[Range 1].[Gender].[All]" dimensionUniqueName="[Range 1]" displayFolder="" count="2" memberValueDatatype="130" unbalanced="0"/>
    <cacheHierarchy uniqueName="[Range 2].[Employee ID]" caption="Employee ID" attribute="1" defaultMemberUniqueName="[Range 2].[Employee ID].[All]" allUniqueName="[Range 2].[Employee ID].[All]" dimensionUniqueName="[Range 2]" displayFolder="" count="2" memberValueDatatype="130" unbalanced="0"/>
    <cacheHierarchy uniqueName="[Range 2].[Name]" caption="Name" attribute="1" defaultMemberUniqueName="[Range 2].[Name].[All]" allUniqueName="[Range 2].[Name].[All]" dimensionUniqueName="[Range 2]" displayFolder="" count="2" memberValueDatatype="130" unbalanced="0"/>
    <cacheHierarchy uniqueName="[Range 2].[Department]" caption="Department" attribute="1" defaultMemberUniqueName="[Range 2].[Department].[All]" allUniqueName="[Range 2].[Department].[All]" dimensionUniqueName="[Range 2]" displayFolder="" count="2" memberValueDatatype="130" unbalanced="0"/>
    <cacheHierarchy uniqueName="[Range 2].[Country]" caption="Country" attribute="1" defaultMemberUniqueName="[Range 2].[Country].[All]" allUniqueName="[Range 2].[Country].[All]" dimensionUniqueName="[Range 2]" displayFolder="" count="2" memberValueDatatype="130" unbalanced="0">
      <fieldsUsage count="2">
        <fieldUsage x="-1"/>
        <fieldUsage x="0"/>
      </fieldsUsage>
    </cacheHierarchy>
    <cacheHierarchy uniqueName="[Range 2].[Salary]" caption="Salary" attribute="1" defaultMemberUniqueName="[Range 2].[Salary].[All]" allUniqueName="[Range 2].[Salary].[All]" dimensionUniqueName="[Range 2]" displayFolder="" count="2" memberValueDatatype="5" unbalanced="0"/>
    <cacheHierarchy uniqueName="[Range 2].[Date of Joining]" caption="Date of Joining" attribute="1" defaultMemberUniqueName="[Range 2].[Date of Joining].[All]" allUniqueName="[Range 2].[Date of Joining].[All]" dimensionUniqueName="[Range 2]" displayFolder="" count="2" memberValueDatatype="130" unbalanced="0"/>
    <cacheHierarchy uniqueName="[Range 2].[Performance Rating]" caption="Performance Rating" attribute="1" defaultMemberUniqueName="[Range 2].[Performance Rating].[All]" allUniqueName="[Range 2].[Performance Rating].[All]" dimensionUniqueName="[Range 2]" displayFolder="" count="2" memberValueDatatype="5" unbalanced="0"/>
    <cacheHierarchy uniqueName="[Range 2].[Gender]" caption="Gender" attribute="1" defaultMemberUniqueName="[Range 2].[Gender].[All]" allUniqueName="[Range 2].[Gender].[All]" dimensionUniqueName="[Range 2]" displayFolder="" count="2" memberValueDatatype="130" unbalanced="0"/>
    <cacheHierarchy uniqueName="[Table117  Employee ID   Gender].[Employee ID]" caption="Employee ID" attribute="1" defaultMemberUniqueName="[Table117  Employee ID   Gender].[Employee ID].[All]" allUniqueName="[Table117  Employee ID   Gender].[Employee ID].[All]" dimensionUniqueName="[Table117  Employee ID   Gender]" displayFolder="" count="2" memberValueDatatype="130" unbalanced="0"/>
    <cacheHierarchy uniqueName="[Table117  Employee ID   Gender].[Name]" caption="Name" attribute="1" defaultMemberUniqueName="[Table117  Employee ID   Gender].[Name].[All]" allUniqueName="[Table117  Employee ID   Gender].[Name].[All]" dimensionUniqueName="[Table117  Employee ID   Gender]" displayFolder="" count="2" memberValueDatatype="130" unbalanced="0"/>
    <cacheHierarchy uniqueName="[Table117  Employee ID   Gender].[Department]" caption="Department" attribute="1" defaultMemberUniqueName="[Table117  Employee ID   Gender].[Department].[All]" allUniqueName="[Table117  Employee ID   Gender].[Department].[All]" dimensionUniqueName="[Table117  Employee ID   Gender]" displayFolder="" count="2" memberValueDatatype="130" unbalanced="0"/>
    <cacheHierarchy uniqueName="[Table117  Employee ID   Gender].[Country]" caption="Country" attribute="1" defaultMemberUniqueName="[Table117  Employee ID   Gender].[Country].[All]" allUniqueName="[Table117  Employee ID   Gender].[Country].[All]" dimensionUniqueName="[Table117  Employee ID   Gender]" displayFolder="" count="2" memberValueDatatype="130" unbalanced="0"/>
    <cacheHierarchy uniqueName="[Table117  Employee ID   Gender].[Salary]" caption="Salary" attribute="1" defaultMemberUniqueName="[Table117  Employee ID   Gender].[Salary].[All]" allUniqueName="[Table117  Employee ID   Gender].[Salary].[All]" dimensionUniqueName="[Table117  Employee ID   Gender]" displayFolder="" count="2" memberValueDatatype="5" unbalanced="0"/>
    <cacheHierarchy uniqueName="[Table117  Employee ID   Gender].[Date of Joining]" caption="Date of Joining" attribute="1" defaultMemberUniqueName="[Table117  Employee ID   Gender].[Date of Joining].[All]" allUniqueName="[Table117  Employee ID   Gender].[Date of Joining].[All]" dimensionUniqueName="[Table117  Employee ID   Gender]" displayFolder="" count="2" memberValueDatatype="130" unbalanced="0"/>
    <cacheHierarchy uniqueName="[Table117  Employee ID   Gender].[Joined Month]" caption="Joined Month" attribute="1" defaultMemberUniqueName="[Table117  Employee ID   Gender].[Joined Month].[All]" allUniqueName="[Table117  Employee ID   Gender].[Joined Month].[All]" dimensionUniqueName="[Table117  Employee ID   Gender]" displayFolder="" count="2" memberValueDatatype="130" unbalanced="0"/>
    <cacheHierarchy uniqueName="[Table117  Employee ID   Gender].[Performance Rating]" caption="Performance Rating" attribute="1" defaultMemberUniqueName="[Table117  Employee ID   Gender].[Performance Rating].[All]" allUniqueName="[Table117  Employee ID   Gender].[Performance Rating].[All]" dimensionUniqueName="[Table117  Employee ID   Gender]" displayFolder="" count="2" memberValueDatatype="5" unbalanced="0"/>
    <cacheHierarchy uniqueName="[Table117  Employee ID   Gender].[Gender]" caption="Gender" attribute="1" defaultMemberUniqueName="[Table117  Employee ID   Gender].[Gender].[All]" allUniqueName="[Table117  Employee ID   Gender].[Gender].[All]" dimensionUniqueName="[Table117  Employee ID   Gender]" displayFolder="" count="2" memberValueDatatype="130" unbalanced="0"/>
    <cacheHierarchy uniqueName="[Measures].[__XL_Count Range]" caption="__XL_Count Range" measure="1" displayFolder="" measureGroup="Range" count="0" hidden="1"/>
    <cacheHierarchy uniqueName="[Measures].[__XL_Count Table117  Employee ID   Gender]" caption="__XL_Count Table117  Employee ID   Gender" measure="1" displayFolder="" measureGroup="Table117  Employee ID   Gender"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No measures defined]" caption="__No measures defined" measure="1" displayFolder="" count="0" hidden="1"/>
    <cacheHierarchy uniqueName="[Measures].[Sum of Performance Rating]" caption="Sum of Performance Rating" measure="1" displayFolder="" measureGroup="Range" count="0" hidden="1">
      <extLst>
        <ext xmlns:x15="http://schemas.microsoft.com/office/spreadsheetml/2010/11/main" uri="{B97F6D7D-B522-45F9-BDA1-12C45D357490}">
          <x15:cacheHierarchy aggregatedColumn="6"/>
        </ext>
      </extLst>
    </cacheHierarchy>
    <cacheHierarchy uniqueName="[Measures].[Max of Performance Rating]" caption="Max of Performance Rating" measure="1" displayFolder="" measureGroup="Range" count="0" hidden="1">
      <extLst>
        <ext xmlns:x15="http://schemas.microsoft.com/office/spreadsheetml/2010/11/main" uri="{B97F6D7D-B522-45F9-BDA1-12C45D357490}">
          <x15:cacheHierarchy aggregatedColumn="6"/>
        </ext>
      </extLst>
    </cacheHierarchy>
    <cacheHierarchy uniqueName="[Measures].[Sum of Salary]" caption="Sum of Salary" measure="1" displayFolder="" measureGroup="Range" count="0" hidden="1">
      <extLst>
        <ext xmlns:x15="http://schemas.microsoft.com/office/spreadsheetml/2010/11/main" uri="{B97F6D7D-B522-45F9-BDA1-12C45D357490}">
          <x15:cacheHierarchy aggregatedColumn="4"/>
        </ext>
      </extLst>
    </cacheHierarchy>
    <cacheHierarchy uniqueName="[Measures].[Average of Salary]" caption="Average of Salary" measure="1" displayFolder="" measureGroup="Range" count="0" hidden="1">
      <extLst>
        <ext xmlns:x15="http://schemas.microsoft.com/office/spreadsheetml/2010/11/main" uri="{B97F6D7D-B522-45F9-BDA1-12C45D357490}">
          <x15:cacheHierarchy aggregatedColumn="4"/>
        </ext>
      </extLst>
    </cacheHierarchy>
    <cacheHierarchy uniqueName="[Measures].[Count of Joined Month]" caption="Count of Joined Month" measure="1" displayFolder="" measureGroup="Table117  Employee ID   Gender" count="0" hidden="1">
      <extLst>
        <ext xmlns:x15="http://schemas.microsoft.com/office/spreadsheetml/2010/11/main" uri="{B97F6D7D-B522-45F9-BDA1-12C45D357490}">
          <x15:cacheHierarchy aggregatedColumn="30"/>
        </ext>
      </extLst>
    </cacheHierarchy>
    <cacheHierarchy uniqueName="[Measures].[Sum of Salary 2]" caption="Sum of Salary 2" measure="1" displayFolder="" measureGroup="Table117  Employee ID   Gender" count="0" hidden="1">
      <extLst>
        <ext xmlns:x15="http://schemas.microsoft.com/office/spreadsheetml/2010/11/main" uri="{B97F6D7D-B522-45F9-BDA1-12C45D357490}">
          <x15:cacheHierarchy aggregatedColumn="28"/>
        </ext>
      </extLst>
    </cacheHierarchy>
    <cacheHierarchy uniqueName="[Measures].[Min of Salary]" caption="Min of Salary" measure="1" displayFolder="" measureGroup="Table117  Employee ID   Gender" count="0" hidden="1">
      <extLst>
        <ext xmlns:x15="http://schemas.microsoft.com/office/spreadsheetml/2010/11/main" uri="{B97F6D7D-B522-45F9-BDA1-12C45D357490}">
          <x15:cacheHierarchy aggregatedColumn="28"/>
        </ext>
      </extLst>
    </cacheHierarchy>
    <cacheHierarchy uniqueName="[Measures].[Sum of Salary 3]" caption="Sum of Salary 3" measure="1" displayFolder="" measureGroup="Range 1" count="0" hidden="1">
      <extLst>
        <ext xmlns:x15="http://schemas.microsoft.com/office/spreadsheetml/2010/11/main" uri="{B97F6D7D-B522-45F9-BDA1-12C45D357490}">
          <x15:cacheHierarchy aggregatedColumn="12"/>
        </ext>
      </extLst>
    </cacheHierarchy>
    <cacheHierarchy uniqueName="[Measures].[Count of Name]" caption="Count of Name" measure="1" displayFolder="" measureGroup="Range 1" count="0" hidden="1">
      <extLst>
        <ext xmlns:x15="http://schemas.microsoft.com/office/spreadsheetml/2010/11/main" uri="{B97F6D7D-B522-45F9-BDA1-12C45D357490}">
          <x15:cacheHierarchy aggregatedColumn="9"/>
        </ext>
      </extLst>
    </cacheHierarchy>
    <cacheHierarchy uniqueName="[Measures].[Count of Employee ID]" caption="Count of Employee ID" measure="1" displayFolder="" measureGroup="Range 2" count="0" hidden="1">
      <extLst>
        <ext xmlns:x15="http://schemas.microsoft.com/office/spreadsheetml/2010/11/main" uri="{B97F6D7D-B522-45F9-BDA1-12C45D357490}">
          <x15:cacheHierarchy aggregatedColumn="16"/>
        </ext>
      </extLst>
    </cacheHierarchy>
    <cacheHierarchy uniqueName="[Measures].[Sum of Salary 4]" caption="Sum of Salary 4" measure="1" displayFolder="" measureGroup="Range 2" count="0" hidden="1">
      <extLst>
        <ext xmlns:x15="http://schemas.microsoft.com/office/spreadsheetml/2010/11/main" uri="{B97F6D7D-B522-45F9-BDA1-12C45D357490}">
          <x15:cacheHierarchy aggregatedColumn="20"/>
        </ext>
      </extLst>
    </cacheHierarchy>
    <cacheHierarchy uniqueName="[Measures].[Average of Salary 2]" caption="Average of Salary 2" measure="1" displayFolder="" measureGroup="Range 2" count="0" oneField="1" hidden="1">
      <fieldsUsage count="1">
        <fieldUsage x="1"/>
      </fieldsUsage>
      <extLst>
        <ext xmlns:x15="http://schemas.microsoft.com/office/spreadsheetml/2010/11/main" uri="{B97F6D7D-B522-45F9-BDA1-12C45D357490}">
          <x15:cacheHierarchy aggregatedColumn="20"/>
        </ext>
      </extLst>
    </cacheHierarchy>
    <cacheHierarchy uniqueName="[Measures].[Count of Employee ID 2]" caption="Count of Employee ID 2" measure="1" displayFolder="" measureGroup="Range" count="0" hidden="1">
      <extLst>
        <ext xmlns:x15="http://schemas.microsoft.com/office/spreadsheetml/2010/11/main" uri="{B97F6D7D-B522-45F9-BDA1-12C45D357490}">
          <x15:cacheHierarchy aggregatedColumn="0"/>
        </ext>
      </extLst>
    </cacheHierarchy>
    <cacheHierarchy uniqueName="[Measures].[Count of Department]" caption="Count of Department" measure="1" displayFolder="" measureGroup="Range" count="0" hidden="1">
      <extLst>
        <ext xmlns:x15="http://schemas.microsoft.com/office/spreadsheetml/2010/11/main" uri="{B97F6D7D-B522-45F9-BDA1-12C45D357490}">
          <x15:cacheHierarchy aggregatedColumn="2"/>
        </ext>
      </extLst>
    </cacheHierarchy>
  </cacheHierarchies>
  <kpis count="0"/>
  <dimensions count="5">
    <dimension measure="1" name="Measures" uniqueName="[Measures]" caption="Measures"/>
    <dimension name="Range" uniqueName="[Range]" caption="Range"/>
    <dimension name="Range 1" uniqueName="[Range 1]" caption="Range 1"/>
    <dimension name="Range 2" uniqueName="[Range 2]" caption="Range 2"/>
    <dimension name="Table117  Employee ID   Gender" uniqueName="[Table117  Employee ID   Gender]" caption="Table117  Employee ID   Gender"/>
  </dimensions>
  <measureGroups count="4">
    <measureGroup name="Range" caption="Range"/>
    <measureGroup name="Range 1" caption="Range 1"/>
    <measureGroup name="Range 2" caption="Range 2"/>
    <measureGroup name="Table117  Employee ID   Gender" caption="Table117  Employee ID   Gender"/>
  </measureGroups>
  <maps count="4">
    <map measureGroup="0" dimension="1"/>
    <map measureGroup="1" dimension="2"/>
    <map measureGroup="2" dimension="3"/>
    <map measureGroup="3" dimension="4"/>
  </maps>
  <extLst>
    <ext xmlns:x14="http://schemas.microsoft.com/office/spreadsheetml/2009/9/main" uri="{725AE2AE-9491-48be-B2B4-4EB974FC3084}">
      <x14:pivotCacheDefinition pivotCacheId="1886173271"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ishna" refreshedDate="45978.389198958335" backgroundQuery="1" createdVersion="8" refreshedVersion="8" minRefreshableVersion="3" recordCount="0" supportSubquery="1" supportAdvancedDrill="1" xr:uid="{0260CEB3-741F-4132-BD87-311F98B5EA74}">
  <cacheSource type="external" connectionId="2">
    <extLst>
      <ext xmlns:x14="http://schemas.microsoft.com/office/spreadsheetml/2009/9/main" uri="{F057638F-6D5F-4e77-A914-E7F072B9BCA8}">
        <x14:sourceConnection name="ThisWorkbookDataModel"/>
      </ext>
    </extLst>
  </cacheSource>
  <cacheFields count="3">
    <cacheField name="[Range 2].[Department].[Department]" caption="Department" numFmtId="0" hierarchy="18" level="1">
      <sharedItems count="6">
        <s v="Finance"/>
        <s v="HR"/>
        <s v="IT"/>
        <s v="Marketing"/>
        <s v="Sales"/>
        <s v="Unknown"/>
      </sharedItems>
    </cacheField>
    <cacheField name="[Measures].[Count of Employee ID]" caption="Count of Employee ID" numFmtId="0" hierarchy="47" level="32767"/>
    <cacheField name="[Range].[Employee ID].[Employee ID]" caption="Employee ID" numFmtId="0" level="1">
      <sharedItems containsSemiMixedTypes="0" containsNonDate="0" containsString="0"/>
    </cacheField>
  </cacheFields>
  <cacheHierarchies count="52">
    <cacheHierarchy uniqueName="[Range].[Employee ID]" caption="Employee ID" attribute="1" defaultMemberUniqueName="[Range].[Employee ID].[All]" allUniqueName="[Range].[Employee ID].[All]" dimensionUniqueName="[Range]" displayFolder="" count="2" memberValueDatatype="130" unbalanced="0">
      <fieldsUsage count="2">
        <fieldUsage x="-1"/>
        <fieldUsage x="2"/>
      </fieldsUsage>
    </cacheHierarchy>
    <cacheHierarchy uniqueName="[Range].[Name]" caption="Name" attribute="1" defaultMemberUniqueName="[Range].[Name].[All]" allUniqueName="[Range].[Name].[All]" dimensionUniqueName="[Range]" displayFolder="" count="0" memberValueDatatype="130" unbalanced="0"/>
    <cacheHierarchy uniqueName="[Range].[Department]" caption="Department" attribute="1" defaultMemberUniqueName="[Range].[Department].[All]" allUniqueName="[Range].[Department].[All]" dimensionUniqueName="[Range]" displayFolder="" count="2" memberValueDatatype="130" unbalanced="0"/>
    <cacheHierarchy uniqueName="[Range].[Country]" caption="Country" attribute="1" defaultMemberUniqueName="[Range].[Country].[All]" allUniqueName="[Range].[Country].[All]" dimensionUniqueName="[Range]" displayFolder="" count="0" memberValueDatatype="130" unbalanced="0"/>
    <cacheHierarchy uniqueName="[Range].[Salary]" caption="Salary" attribute="1" defaultMemberUniqueName="[Range].[Salary].[All]" allUniqueName="[Range].[Salary].[All]" dimensionUniqueName="[Range]" displayFolder="" count="0" memberValueDatatype="5" unbalanced="0"/>
    <cacheHierarchy uniqueName="[Range].[Date of Joining]" caption="Date of Joining" attribute="1" defaultMemberUniqueName="[Range].[Date of Joining].[All]" allUniqueName="[Range].[Date of Joining].[All]" dimensionUniqueName="[Range]" displayFolder="" count="0" memberValueDatatype="130" unbalanced="0"/>
    <cacheHierarchy uniqueName="[Range].[Performance Rating]" caption="Performance Rating" attribute="1" defaultMemberUniqueName="[Range].[Performance Rating].[All]" allUniqueName="[Range].[Performance Rating].[All]" dimensionUniqueName="[Range]" displayFolder="" count="0" memberValueDatatype="5" unbalanced="0"/>
    <cacheHierarchy uniqueName="[Range].[Gender]" caption="Gender" attribute="1" defaultMemberUniqueName="[Range].[Gender].[All]" allUniqueName="[Range].[Gender].[All]" dimensionUniqueName="[Range]" displayFolder="" count="0" memberValueDatatype="130" unbalanced="0"/>
    <cacheHierarchy uniqueName="[Range 1].[Employee ID]" caption="Employee ID" attribute="1" defaultMemberUniqueName="[Range 1].[Employee ID].[All]" allUniqueName="[Range 1].[Employee ID].[All]" dimensionUniqueName="[Range 1]" displayFolder="" count="0" memberValueDatatype="130" unbalanced="0"/>
    <cacheHierarchy uniqueName="[Range 1].[Name]" caption="Name" attribute="1" defaultMemberUniqueName="[Range 1].[Name].[All]" allUniqueName="[Range 1].[Name].[All]" dimensionUniqueName="[Range 1]" displayFolder="" count="0" memberValueDatatype="130" unbalanced="0"/>
    <cacheHierarchy uniqueName="[Range 1].[Department]" caption="Department" attribute="1" defaultMemberUniqueName="[Range 1].[Department].[All]" allUniqueName="[Range 1].[Department].[All]" dimensionUniqueName="[Range 1]" displayFolder="" count="0" memberValueDatatype="130" unbalanced="0"/>
    <cacheHierarchy uniqueName="[Range 1].[Country]" caption="Country" attribute="1" defaultMemberUniqueName="[Range 1].[Country].[All]" allUniqueName="[Range 1].[Country].[All]" dimensionUniqueName="[Range 1]" displayFolder="" count="0" memberValueDatatype="130" unbalanced="0"/>
    <cacheHierarchy uniqueName="[Range 1].[Salary]" caption="Salary" attribute="1" defaultMemberUniqueName="[Range 1].[Salary].[All]" allUniqueName="[Range 1].[Salary].[All]" dimensionUniqueName="[Range 1]" displayFolder="" count="0" memberValueDatatype="5" unbalanced="0"/>
    <cacheHierarchy uniqueName="[Range 1].[Date of Joining]" caption="Date of Joining" attribute="1" defaultMemberUniqueName="[Range 1].[Date of Joining].[All]" allUniqueName="[Range 1].[Date of Joining].[All]" dimensionUniqueName="[Range 1]" displayFolder="" count="0" memberValueDatatype="130" unbalanced="0"/>
    <cacheHierarchy uniqueName="[Range 1].[Performance Rating]" caption="Performance Rating" attribute="1" defaultMemberUniqueName="[Range 1].[Performance Rating].[All]" allUniqueName="[Range 1].[Performance Rating].[All]" dimensionUniqueName="[Range 1]" displayFolder="" count="0" memberValueDatatype="5" unbalanced="0"/>
    <cacheHierarchy uniqueName="[Range 1].[Gender]" caption="Gender" attribute="1" defaultMemberUniqueName="[Range 1].[Gender].[All]" allUniqueName="[Range 1].[Gender].[All]" dimensionUniqueName="[Range 1]" displayFolder="" count="0" memberValueDatatype="130" unbalanced="0"/>
    <cacheHierarchy uniqueName="[Range 2].[Employee ID]" caption="Employee ID" attribute="1" defaultMemberUniqueName="[Range 2].[Employee ID].[All]" allUniqueName="[Range 2].[Employee ID].[All]" dimensionUniqueName="[Range 2]" displayFolder="" count="0" memberValueDatatype="130" unbalanced="0"/>
    <cacheHierarchy uniqueName="[Range 2].[Name]" caption="Name" attribute="1" defaultMemberUniqueName="[Range 2].[Name].[All]" allUniqueName="[Range 2].[Name].[All]" dimensionUniqueName="[Range 2]" displayFolder="" count="2" memberValueDatatype="130" unbalanced="0"/>
    <cacheHierarchy uniqueName="[Range 2].[Department]" caption="Department" attribute="1" defaultMemberUniqueName="[Range 2].[Department].[All]" allUniqueName="[Range 2].[Department].[All]" dimensionUniqueName="[Range 2]" displayFolder="" count="2" memberValueDatatype="130" unbalanced="0">
      <fieldsUsage count="2">
        <fieldUsage x="-1"/>
        <fieldUsage x="0"/>
      </fieldsUsage>
    </cacheHierarchy>
    <cacheHierarchy uniqueName="[Range 2].[Country]" caption="Country" attribute="1" defaultMemberUniqueName="[Range 2].[Country].[All]" allUniqueName="[Range 2].[Country].[All]" dimensionUniqueName="[Range 2]" displayFolder="" count="0" memberValueDatatype="130" unbalanced="0"/>
    <cacheHierarchy uniqueName="[Range 2].[Salary]" caption="Salary" attribute="1" defaultMemberUniqueName="[Range 2].[Salary].[All]" allUniqueName="[Range 2].[Salary].[All]" dimensionUniqueName="[Range 2]" displayFolder="" count="0" memberValueDatatype="5" unbalanced="0"/>
    <cacheHierarchy uniqueName="[Range 2].[Date of Joining]" caption="Date of Joining" attribute="1" defaultMemberUniqueName="[Range 2].[Date of Joining].[All]" allUniqueName="[Range 2].[Date of Joining].[All]" dimensionUniqueName="[Range 2]" displayFolder="" count="0" memberValueDatatype="130" unbalanced="0"/>
    <cacheHierarchy uniqueName="[Range 2].[Performance Rating]" caption="Performance Rating" attribute="1" defaultMemberUniqueName="[Range 2].[Performance Rating].[All]" allUniqueName="[Range 2].[Performance Rating].[All]" dimensionUniqueName="[Range 2]" displayFolder="" count="0" memberValueDatatype="5" unbalanced="0"/>
    <cacheHierarchy uniqueName="[Range 2].[Gender]" caption="Gender" attribute="1" defaultMemberUniqueName="[Range 2].[Gender].[All]" allUniqueName="[Range 2].[Gender].[All]" dimensionUniqueName="[Range 2]" displayFolder="" count="0" memberValueDatatype="130" unbalanced="0"/>
    <cacheHierarchy uniqueName="[Table117  Employee ID   Gender].[Employee ID]" caption="Employee ID" attribute="1" defaultMemberUniqueName="[Table117  Employee ID   Gender].[Employee ID].[All]" allUniqueName="[Table117  Employee ID   Gender].[Employee ID].[All]" dimensionUniqueName="[Table117  Employee ID   Gender]" displayFolder="" count="0" memberValueDatatype="130" unbalanced="0"/>
    <cacheHierarchy uniqueName="[Table117  Employee ID   Gender].[Name]" caption="Name" attribute="1" defaultMemberUniqueName="[Table117  Employee ID   Gender].[Name].[All]" allUniqueName="[Table117  Employee ID   Gender].[Name].[All]" dimensionUniqueName="[Table117  Employee ID   Gender]" displayFolder="" count="0" memberValueDatatype="130" unbalanced="0"/>
    <cacheHierarchy uniqueName="[Table117  Employee ID   Gender].[Department]" caption="Department" attribute="1" defaultMemberUniqueName="[Table117  Employee ID   Gender].[Department].[All]" allUniqueName="[Table117  Employee ID   Gender].[Department].[All]" dimensionUniqueName="[Table117  Employee ID   Gender]" displayFolder="" count="0" memberValueDatatype="130" unbalanced="0"/>
    <cacheHierarchy uniqueName="[Table117  Employee ID   Gender].[Country]" caption="Country" attribute="1" defaultMemberUniqueName="[Table117  Employee ID   Gender].[Country].[All]" allUniqueName="[Table117  Employee ID   Gender].[Country].[All]" dimensionUniqueName="[Table117  Employee ID   Gender]" displayFolder="" count="0" memberValueDatatype="130" unbalanced="0"/>
    <cacheHierarchy uniqueName="[Table117  Employee ID   Gender].[Salary]" caption="Salary" attribute="1" defaultMemberUniqueName="[Table117  Employee ID   Gender].[Salary].[All]" allUniqueName="[Table117  Employee ID   Gender].[Salary].[All]" dimensionUniqueName="[Table117  Employee ID   Gender]" displayFolder="" count="0" memberValueDatatype="5" unbalanced="0"/>
    <cacheHierarchy uniqueName="[Table117  Employee ID   Gender].[Date of Joining]" caption="Date of Joining" attribute="1" defaultMemberUniqueName="[Table117  Employee ID   Gender].[Date of Joining].[All]" allUniqueName="[Table117  Employee ID   Gender].[Date of Joining].[All]" dimensionUniqueName="[Table117  Employee ID   Gender]" displayFolder="" count="0" memberValueDatatype="130" unbalanced="0"/>
    <cacheHierarchy uniqueName="[Table117  Employee ID   Gender].[Joined Month]" caption="Joined Month" attribute="1" defaultMemberUniqueName="[Table117  Employee ID   Gender].[Joined Month].[All]" allUniqueName="[Table117  Employee ID   Gender].[Joined Month].[All]" dimensionUniqueName="[Table117  Employee ID   Gender]" displayFolder="" count="0" memberValueDatatype="130" unbalanced="0"/>
    <cacheHierarchy uniqueName="[Table117  Employee ID   Gender].[Performance Rating]" caption="Performance Rating" attribute="1" defaultMemberUniqueName="[Table117  Employee ID   Gender].[Performance Rating].[All]" allUniqueName="[Table117  Employee ID   Gender].[Performance Rating].[All]" dimensionUniqueName="[Table117  Employee ID   Gender]" displayFolder="" count="0" memberValueDatatype="5" unbalanced="0"/>
    <cacheHierarchy uniqueName="[Table117  Employee ID   Gender].[Gender]" caption="Gender" attribute="1" defaultMemberUniqueName="[Table117  Employee ID   Gender].[Gender].[All]" allUniqueName="[Table117  Employee ID   Gender].[Gender].[All]" dimensionUniqueName="[Table117  Employee ID   Gender]" displayFolder="" count="0" memberValueDatatype="130" unbalanced="0"/>
    <cacheHierarchy uniqueName="[Measures].[__XL_Count Range]" caption="__XL_Count Range" measure="1" displayFolder="" measureGroup="Range" count="0" hidden="1"/>
    <cacheHierarchy uniqueName="[Measures].[__XL_Count Table117  Employee ID   Gender]" caption="__XL_Count Table117  Employee ID   Gender" measure="1" displayFolder="" measureGroup="Table117  Employee ID   Gender"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No measures defined]" caption="__No measures defined" measure="1" displayFolder="" count="0" hidden="1"/>
    <cacheHierarchy uniqueName="[Measures].[Sum of Performance Rating]" caption="Sum of Performance Rating" measure="1" displayFolder="" measureGroup="Range" count="0" hidden="1">
      <extLst>
        <ext xmlns:x15="http://schemas.microsoft.com/office/spreadsheetml/2010/11/main" uri="{B97F6D7D-B522-45F9-BDA1-12C45D357490}">
          <x15:cacheHierarchy aggregatedColumn="6"/>
        </ext>
      </extLst>
    </cacheHierarchy>
    <cacheHierarchy uniqueName="[Measures].[Max of Performance Rating]" caption="Max of Performance Rating" measure="1" displayFolder="" measureGroup="Range" count="0" hidden="1">
      <extLst>
        <ext xmlns:x15="http://schemas.microsoft.com/office/spreadsheetml/2010/11/main" uri="{B97F6D7D-B522-45F9-BDA1-12C45D357490}">
          <x15:cacheHierarchy aggregatedColumn="6"/>
        </ext>
      </extLst>
    </cacheHierarchy>
    <cacheHierarchy uniqueName="[Measures].[Sum of Salary]" caption="Sum of Salary" measure="1" displayFolder="" measureGroup="Range" count="0" hidden="1">
      <extLst>
        <ext xmlns:x15="http://schemas.microsoft.com/office/spreadsheetml/2010/11/main" uri="{B97F6D7D-B522-45F9-BDA1-12C45D357490}">
          <x15:cacheHierarchy aggregatedColumn="4"/>
        </ext>
      </extLst>
    </cacheHierarchy>
    <cacheHierarchy uniqueName="[Measures].[Average of Salary]" caption="Average of Salary" measure="1" displayFolder="" measureGroup="Range" count="0" hidden="1">
      <extLst>
        <ext xmlns:x15="http://schemas.microsoft.com/office/spreadsheetml/2010/11/main" uri="{B97F6D7D-B522-45F9-BDA1-12C45D357490}">
          <x15:cacheHierarchy aggregatedColumn="4"/>
        </ext>
      </extLst>
    </cacheHierarchy>
    <cacheHierarchy uniqueName="[Measures].[Count of Joined Month]" caption="Count of Joined Month" measure="1" displayFolder="" measureGroup="Table117  Employee ID   Gender" count="0" hidden="1">
      <extLst>
        <ext xmlns:x15="http://schemas.microsoft.com/office/spreadsheetml/2010/11/main" uri="{B97F6D7D-B522-45F9-BDA1-12C45D357490}">
          <x15:cacheHierarchy aggregatedColumn="30"/>
        </ext>
      </extLst>
    </cacheHierarchy>
    <cacheHierarchy uniqueName="[Measures].[Sum of Salary 2]" caption="Sum of Salary 2" measure="1" displayFolder="" measureGroup="Table117  Employee ID   Gender" count="0" hidden="1">
      <extLst>
        <ext xmlns:x15="http://schemas.microsoft.com/office/spreadsheetml/2010/11/main" uri="{B97F6D7D-B522-45F9-BDA1-12C45D357490}">
          <x15:cacheHierarchy aggregatedColumn="28"/>
        </ext>
      </extLst>
    </cacheHierarchy>
    <cacheHierarchy uniqueName="[Measures].[Min of Salary]" caption="Min of Salary" measure="1" displayFolder="" measureGroup="Table117  Employee ID   Gender" count="0" hidden="1">
      <extLst>
        <ext xmlns:x15="http://schemas.microsoft.com/office/spreadsheetml/2010/11/main" uri="{B97F6D7D-B522-45F9-BDA1-12C45D357490}">
          <x15:cacheHierarchy aggregatedColumn="28"/>
        </ext>
      </extLst>
    </cacheHierarchy>
    <cacheHierarchy uniqueName="[Measures].[Sum of Salary 3]" caption="Sum of Salary 3" measure="1" displayFolder="" measureGroup="Range 1" count="0" hidden="1">
      <extLst>
        <ext xmlns:x15="http://schemas.microsoft.com/office/spreadsheetml/2010/11/main" uri="{B97F6D7D-B522-45F9-BDA1-12C45D357490}">
          <x15:cacheHierarchy aggregatedColumn="12"/>
        </ext>
      </extLst>
    </cacheHierarchy>
    <cacheHierarchy uniqueName="[Measures].[Count of Name]" caption="Count of Name" measure="1" displayFolder="" measureGroup="Range 1" count="0" hidden="1">
      <extLst>
        <ext xmlns:x15="http://schemas.microsoft.com/office/spreadsheetml/2010/11/main" uri="{B97F6D7D-B522-45F9-BDA1-12C45D357490}">
          <x15:cacheHierarchy aggregatedColumn="9"/>
        </ext>
      </extLst>
    </cacheHierarchy>
    <cacheHierarchy uniqueName="[Measures].[Count of Employee ID]" caption="Count of Employee ID" measure="1" displayFolder="" measureGroup="Range 2" count="0" oneField="1" hidden="1">
      <fieldsUsage count="1">
        <fieldUsage x="1"/>
      </fieldsUsage>
      <extLst>
        <ext xmlns:x15="http://schemas.microsoft.com/office/spreadsheetml/2010/11/main" uri="{B97F6D7D-B522-45F9-BDA1-12C45D357490}">
          <x15:cacheHierarchy aggregatedColumn="16"/>
        </ext>
      </extLst>
    </cacheHierarchy>
    <cacheHierarchy uniqueName="[Measures].[Sum of Salary 4]" caption="Sum of Salary 4" measure="1" displayFolder="" measureGroup="Range 2" count="0" hidden="1">
      <extLst>
        <ext xmlns:x15="http://schemas.microsoft.com/office/spreadsheetml/2010/11/main" uri="{B97F6D7D-B522-45F9-BDA1-12C45D357490}">
          <x15:cacheHierarchy aggregatedColumn="20"/>
        </ext>
      </extLst>
    </cacheHierarchy>
    <cacheHierarchy uniqueName="[Measures].[Average of Salary 2]" caption="Average of Salary 2" measure="1" displayFolder="" measureGroup="Range 2" count="0" hidden="1">
      <extLst>
        <ext xmlns:x15="http://schemas.microsoft.com/office/spreadsheetml/2010/11/main" uri="{B97F6D7D-B522-45F9-BDA1-12C45D357490}">
          <x15:cacheHierarchy aggregatedColumn="20"/>
        </ext>
      </extLst>
    </cacheHierarchy>
    <cacheHierarchy uniqueName="[Measures].[Count of Employee ID 2]" caption="Count of Employee ID 2" measure="1" displayFolder="" measureGroup="Range" count="0" hidden="1">
      <extLst>
        <ext xmlns:x15="http://schemas.microsoft.com/office/spreadsheetml/2010/11/main" uri="{B97F6D7D-B522-45F9-BDA1-12C45D357490}">
          <x15:cacheHierarchy aggregatedColumn="0"/>
        </ext>
      </extLst>
    </cacheHierarchy>
    <cacheHierarchy uniqueName="[Measures].[Count of Department]" caption="Count of Department" measure="1" displayFolder="" measureGroup="Range" count="0" hidden="1">
      <extLst>
        <ext xmlns:x15="http://schemas.microsoft.com/office/spreadsheetml/2010/11/main" uri="{B97F6D7D-B522-45F9-BDA1-12C45D357490}">
          <x15:cacheHierarchy aggregatedColumn="2"/>
        </ext>
      </extLst>
    </cacheHierarchy>
  </cacheHierarchies>
  <kpis count="0"/>
  <dimensions count="5">
    <dimension measure="1" name="Measures" uniqueName="[Measures]" caption="Measures"/>
    <dimension name="Range" uniqueName="[Range]" caption="Range"/>
    <dimension name="Range 1" uniqueName="[Range 1]" caption="Range 1"/>
    <dimension name="Range 2" uniqueName="[Range 2]" caption="Range 2"/>
    <dimension name="Table117  Employee ID   Gender" uniqueName="[Table117  Employee ID   Gender]" caption="Table117  Employee ID   Gender"/>
  </dimensions>
  <measureGroups count="4">
    <measureGroup name="Range" caption="Range"/>
    <measureGroup name="Range 1" caption="Range 1"/>
    <measureGroup name="Range 2" caption="Range 2"/>
    <measureGroup name="Table117  Employee ID   Gender" caption="Table117  Employee ID   Gender"/>
  </measureGroups>
  <maps count="4">
    <map measureGroup="0" dimension="1"/>
    <map measureGroup="1" dimension="2"/>
    <map measureGroup="2" dimension="3"/>
    <map measureGroup="3" dimension="4"/>
  </maps>
  <extLst>
    <ext xmlns:x14="http://schemas.microsoft.com/office/spreadsheetml/2009/9/main" uri="{725AE2AE-9491-48be-B2B4-4EB974FC3084}">
      <x14:pivotCacheDefinition pivotCacheId="714831139"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ishna" refreshedDate="45978.38919976852" backgroundQuery="1" createdVersion="8" refreshedVersion="8" minRefreshableVersion="3" recordCount="0" supportSubquery="1" supportAdvancedDrill="1" xr:uid="{19D4BDEA-0BD3-46C6-8C3C-63161247B637}">
  <cacheSource type="external" connectionId="2">
    <extLst>
      <ext xmlns:x14="http://schemas.microsoft.com/office/spreadsheetml/2009/9/main" uri="{F057638F-6D5F-4e77-A914-E7F072B9BCA8}">
        <x14:sourceConnection name="ThisWorkbookDataModel"/>
      </ext>
    </extLst>
  </cacheSource>
  <cacheFields count="3">
    <cacheField name="[Range 2].[Country].[Country]" caption="Country" numFmtId="0" hierarchy="19" level="1">
      <sharedItems count="6">
        <s v="Australia"/>
        <s v="Germany"/>
        <s v="India"/>
        <s v="UK"/>
        <s v="Unknown"/>
        <s v="USA"/>
      </sharedItems>
    </cacheField>
    <cacheField name="[Measures].[Average of Salary 2]" caption="Average of Salary 2" numFmtId="0" hierarchy="49" level="32767"/>
    <cacheField name="[Range].[Employee ID].[Employee ID]" caption="Employee ID" numFmtId="0" level="1">
      <sharedItems containsSemiMixedTypes="0" containsNonDate="0" containsString="0"/>
    </cacheField>
  </cacheFields>
  <cacheHierarchies count="52">
    <cacheHierarchy uniqueName="[Range].[Employee ID]" caption="Employee ID" attribute="1" defaultMemberUniqueName="[Range].[Employee ID].[All]" allUniqueName="[Range].[Employee ID].[All]" dimensionUniqueName="[Range]" displayFolder="" count="2" memberValueDatatype="130" unbalanced="0">
      <fieldsUsage count="2">
        <fieldUsage x="-1"/>
        <fieldUsage x="2"/>
      </fieldsUsage>
    </cacheHierarchy>
    <cacheHierarchy uniqueName="[Range].[Name]" caption="Name" attribute="1" defaultMemberUniqueName="[Range].[Name].[All]" allUniqueName="[Range].[Name].[All]" dimensionUniqueName="[Range]" displayFolder="" count="0" memberValueDatatype="130" unbalanced="0"/>
    <cacheHierarchy uniqueName="[Range].[Department]" caption="Department" attribute="1" defaultMemberUniqueName="[Range].[Department].[All]" allUniqueName="[Range].[Department].[All]" dimensionUniqueName="[Range]" displayFolder="" count="2" memberValueDatatype="130" unbalanced="0"/>
    <cacheHierarchy uniqueName="[Range].[Country]" caption="Country" attribute="1" defaultMemberUniqueName="[Range].[Country].[All]" allUniqueName="[Range].[Country].[All]" dimensionUniqueName="[Range]" displayFolder="" count="0" memberValueDatatype="130" unbalanced="0"/>
    <cacheHierarchy uniqueName="[Range].[Salary]" caption="Salary" attribute="1" defaultMemberUniqueName="[Range].[Salary].[All]" allUniqueName="[Range].[Salary].[All]" dimensionUniqueName="[Range]" displayFolder="" count="0" memberValueDatatype="5" unbalanced="0"/>
    <cacheHierarchy uniqueName="[Range].[Date of Joining]" caption="Date of Joining" attribute="1" defaultMemberUniqueName="[Range].[Date of Joining].[All]" allUniqueName="[Range].[Date of Joining].[All]" dimensionUniqueName="[Range]" displayFolder="" count="0" memberValueDatatype="130" unbalanced="0"/>
    <cacheHierarchy uniqueName="[Range].[Performance Rating]" caption="Performance Rating" attribute="1" defaultMemberUniqueName="[Range].[Performance Rating].[All]" allUniqueName="[Range].[Performance Rating].[All]" dimensionUniqueName="[Range]" displayFolder="" count="0" memberValueDatatype="5" unbalanced="0"/>
    <cacheHierarchy uniqueName="[Range].[Gender]" caption="Gender" attribute="1" defaultMemberUniqueName="[Range].[Gender].[All]" allUniqueName="[Range].[Gender].[All]" dimensionUniqueName="[Range]" displayFolder="" count="0" memberValueDatatype="130" unbalanced="0"/>
    <cacheHierarchy uniqueName="[Range 1].[Employee ID]" caption="Employee ID" attribute="1" defaultMemberUniqueName="[Range 1].[Employee ID].[All]" allUniqueName="[Range 1].[Employee ID].[All]" dimensionUniqueName="[Range 1]" displayFolder="" count="0" memberValueDatatype="130" unbalanced="0"/>
    <cacheHierarchy uniqueName="[Range 1].[Name]" caption="Name" attribute="1" defaultMemberUniqueName="[Range 1].[Name].[All]" allUniqueName="[Range 1].[Name].[All]" dimensionUniqueName="[Range 1]" displayFolder="" count="0" memberValueDatatype="130" unbalanced="0"/>
    <cacheHierarchy uniqueName="[Range 1].[Department]" caption="Department" attribute="1" defaultMemberUniqueName="[Range 1].[Department].[All]" allUniqueName="[Range 1].[Department].[All]" dimensionUniqueName="[Range 1]" displayFolder="" count="0" memberValueDatatype="130" unbalanced="0"/>
    <cacheHierarchy uniqueName="[Range 1].[Country]" caption="Country" attribute="1" defaultMemberUniqueName="[Range 1].[Country].[All]" allUniqueName="[Range 1].[Country].[All]" dimensionUniqueName="[Range 1]" displayFolder="" count="0" memberValueDatatype="130" unbalanced="0"/>
    <cacheHierarchy uniqueName="[Range 1].[Salary]" caption="Salary" attribute="1" defaultMemberUniqueName="[Range 1].[Salary].[All]" allUniqueName="[Range 1].[Salary].[All]" dimensionUniqueName="[Range 1]" displayFolder="" count="0" memberValueDatatype="5" unbalanced="0"/>
    <cacheHierarchy uniqueName="[Range 1].[Date of Joining]" caption="Date of Joining" attribute="1" defaultMemberUniqueName="[Range 1].[Date of Joining].[All]" allUniqueName="[Range 1].[Date of Joining].[All]" dimensionUniqueName="[Range 1]" displayFolder="" count="0" memberValueDatatype="130" unbalanced="0"/>
    <cacheHierarchy uniqueName="[Range 1].[Performance Rating]" caption="Performance Rating" attribute="1" defaultMemberUniqueName="[Range 1].[Performance Rating].[All]" allUniqueName="[Range 1].[Performance Rating].[All]" dimensionUniqueName="[Range 1]" displayFolder="" count="0" memberValueDatatype="5" unbalanced="0"/>
    <cacheHierarchy uniqueName="[Range 1].[Gender]" caption="Gender" attribute="1" defaultMemberUniqueName="[Range 1].[Gender].[All]" allUniqueName="[Range 1].[Gender].[All]" dimensionUniqueName="[Range 1]" displayFolder="" count="0" memberValueDatatype="130" unbalanced="0"/>
    <cacheHierarchy uniqueName="[Range 2].[Employee ID]" caption="Employee ID" attribute="1" defaultMemberUniqueName="[Range 2].[Employee ID].[All]" allUniqueName="[Range 2].[Employee ID].[All]" dimensionUniqueName="[Range 2]" displayFolder="" count="0" memberValueDatatype="130" unbalanced="0"/>
    <cacheHierarchy uniqueName="[Range 2].[Name]" caption="Name" attribute="1" defaultMemberUniqueName="[Range 2].[Name].[All]" allUniqueName="[Range 2].[Name].[All]" dimensionUniqueName="[Range 2]" displayFolder="" count="2" memberValueDatatype="130" unbalanced="0"/>
    <cacheHierarchy uniqueName="[Range 2].[Department]" caption="Department" attribute="1" defaultMemberUniqueName="[Range 2].[Department].[All]" allUniqueName="[Range 2].[Department].[All]" dimensionUniqueName="[Range 2]" displayFolder="" count="0" memberValueDatatype="130" unbalanced="0"/>
    <cacheHierarchy uniqueName="[Range 2].[Country]" caption="Country" attribute="1" defaultMemberUniqueName="[Range 2].[Country].[All]" allUniqueName="[Range 2].[Country].[All]" dimensionUniqueName="[Range 2]" displayFolder="" count="2" memberValueDatatype="130" unbalanced="0">
      <fieldsUsage count="2">
        <fieldUsage x="-1"/>
        <fieldUsage x="0"/>
      </fieldsUsage>
    </cacheHierarchy>
    <cacheHierarchy uniqueName="[Range 2].[Salary]" caption="Salary" attribute="1" defaultMemberUniqueName="[Range 2].[Salary].[All]" allUniqueName="[Range 2].[Salary].[All]" dimensionUniqueName="[Range 2]" displayFolder="" count="0" memberValueDatatype="5" unbalanced="0"/>
    <cacheHierarchy uniqueName="[Range 2].[Date of Joining]" caption="Date of Joining" attribute="1" defaultMemberUniqueName="[Range 2].[Date of Joining].[All]" allUniqueName="[Range 2].[Date of Joining].[All]" dimensionUniqueName="[Range 2]" displayFolder="" count="0" memberValueDatatype="130" unbalanced="0"/>
    <cacheHierarchy uniqueName="[Range 2].[Performance Rating]" caption="Performance Rating" attribute="1" defaultMemberUniqueName="[Range 2].[Performance Rating].[All]" allUniqueName="[Range 2].[Performance Rating].[All]" dimensionUniqueName="[Range 2]" displayFolder="" count="0" memberValueDatatype="5" unbalanced="0"/>
    <cacheHierarchy uniqueName="[Range 2].[Gender]" caption="Gender" attribute="1" defaultMemberUniqueName="[Range 2].[Gender].[All]" allUniqueName="[Range 2].[Gender].[All]" dimensionUniqueName="[Range 2]" displayFolder="" count="0" memberValueDatatype="130" unbalanced="0"/>
    <cacheHierarchy uniqueName="[Table117  Employee ID   Gender].[Employee ID]" caption="Employee ID" attribute="1" defaultMemberUniqueName="[Table117  Employee ID   Gender].[Employee ID].[All]" allUniqueName="[Table117  Employee ID   Gender].[Employee ID].[All]" dimensionUniqueName="[Table117  Employee ID   Gender]" displayFolder="" count="0" memberValueDatatype="130" unbalanced="0"/>
    <cacheHierarchy uniqueName="[Table117  Employee ID   Gender].[Name]" caption="Name" attribute="1" defaultMemberUniqueName="[Table117  Employee ID   Gender].[Name].[All]" allUniqueName="[Table117  Employee ID   Gender].[Name].[All]" dimensionUniqueName="[Table117  Employee ID   Gender]" displayFolder="" count="0" memberValueDatatype="130" unbalanced="0"/>
    <cacheHierarchy uniqueName="[Table117  Employee ID   Gender].[Department]" caption="Department" attribute="1" defaultMemberUniqueName="[Table117  Employee ID   Gender].[Department].[All]" allUniqueName="[Table117  Employee ID   Gender].[Department].[All]" dimensionUniqueName="[Table117  Employee ID   Gender]" displayFolder="" count="0" memberValueDatatype="130" unbalanced="0"/>
    <cacheHierarchy uniqueName="[Table117  Employee ID   Gender].[Country]" caption="Country" attribute="1" defaultMemberUniqueName="[Table117  Employee ID   Gender].[Country].[All]" allUniqueName="[Table117  Employee ID   Gender].[Country].[All]" dimensionUniqueName="[Table117  Employee ID   Gender]" displayFolder="" count="0" memberValueDatatype="130" unbalanced="0"/>
    <cacheHierarchy uniqueName="[Table117  Employee ID   Gender].[Salary]" caption="Salary" attribute="1" defaultMemberUniqueName="[Table117  Employee ID   Gender].[Salary].[All]" allUniqueName="[Table117  Employee ID   Gender].[Salary].[All]" dimensionUniqueName="[Table117  Employee ID   Gender]" displayFolder="" count="0" memberValueDatatype="5" unbalanced="0"/>
    <cacheHierarchy uniqueName="[Table117  Employee ID   Gender].[Date of Joining]" caption="Date of Joining" attribute="1" defaultMemberUniqueName="[Table117  Employee ID   Gender].[Date of Joining].[All]" allUniqueName="[Table117  Employee ID   Gender].[Date of Joining].[All]" dimensionUniqueName="[Table117  Employee ID   Gender]" displayFolder="" count="0" memberValueDatatype="130" unbalanced="0"/>
    <cacheHierarchy uniqueName="[Table117  Employee ID   Gender].[Joined Month]" caption="Joined Month" attribute="1" defaultMemberUniqueName="[Table117  Employee ID   Gender].[Joined Month].[All]" allUniqueName="[Table117  Employee ID   Gender].[Joined Month].[All]" dimensionUniqueName="[Table117  Employee ID   Gender]" displayFolder="" count="0" memberValueDatatype="130" unbalanced="0"/>
    <cacheHierarchy uniqueName="[Table117  Employee ID   Gender].[Performance Rating]" caption="Performance Rating" attribute="1" defaultMemberUniqueName="[Table117  Employee ID   Gender].[Performance Rating].[All]" allUniqueName="[Table117  Employee ID   Gender].[Performance Rating].[All]" dimensionUniqueName="[Table117  Employee ID   Gender]" displayFolder="" count="0" memberValueDatatype="5" unbalanced="0"/>
    <cacheHierarchy uniqueName="[Table117  Employee ID   Gender].[Gender]" caption="Gender" attribute="1" defaultMemberUniqueName="[Table117  Employee ID   Gender].[Gender].[All]" allUniqueName="[Table117  Employee ID   Gender].[Gender].[All]" dimensionUniqueName="[Table117  Employee ID   Gender]" displayFolder="" count="0" memberValueDatatype="130" unbalanced="0"/>
    <cacheHierarchy uniqueName="[Measures].[__XL_Count Range]" caption="__XL_Count Range" measure="1" displayFolder="" measureGroup="Range" count="0" hidden="1"/>
    <cacheHierarchy uniqueName="[Measures].[__XL_Count Table117  Employee ID   Gender]" caption="__XL_Count Table117  Employee ID   Gender" measure="1" displayFolder="" measureGroup="Table117  Employee ID   Gender"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No measures defined]" caption="__No measures defined" measure="1" displayFolder="" count="0" hidden="1"/>
    <cacheHierarchy uniqueName="[Measures].[Sum of Performance Rating]" caption="Sum of Performance Rating" measure="1" displayFolder="" measureGroup="Range" count="0" hidden="1">
      <extLst>
        <ext xmlns:x15="http://schemas.microsoft.com/office/spreadsheetml/2010/11/main" uri="{B97F6D7D-B522-45F9-BDA1-12C45D357490}">
          <x15:cacheHierarchy aggregatedColumn="6"/>
        </ext>
      </extLst>
    </cacheHierarchy>
    <cacheHierarchy uniqueName="[Measures].[Max of Performance Rating]" caption="Max of Performance Rating" measure="1" displayFolder="" measureGroup="Range" count="0" hidden="1">
      <extLst>
        <ext xmlns:x15="http://schemas.microsoft.com/office/spreadsheetml/2010/11/main" uri="{B97F6D7D-B522-45F9-BDA1-12C45D357490}">
          <x15:cacheHierarchy aggregatedColumn="6"/>
        </ext>
      </extLst>
    </cacheHierarchy>
    <cacheHierarchy uniqueName="[Measures].[Sum of Salary]" caption="Sum of Salary" measure="1" displayFolder="" measureGroup="Range" count="0" hidden="1">
      <extLst>
        <ext xmlns:x15="http://schemas.microsoft.com/office/spreadsheetml/2010/11/main" uri="{B97F6D7D-B522-45F9-BDA1-12C45D357490}">
          <x15:cacheHierarchy aggregatedColumn="4"/>
        </ext>
      </extLst>
    </cacheHierarchy>
    <cacheHierarchy uniqueName="[Measures].[Average of Salary]" caption="Average of Salary" measure="1" displayFolder="" measureGroup="Range" count="0" hidden="1">
      <extLst>
        <ext xmlns:x15="http://schemas.microsoft.com/office/spreadsheetml/2010/11/main" uri="{B97F6D7D-B522-45F9-BDA1-12C45D357490}">
          <x15:cacheHierarchy aggregatedColumn="4"/>
        </ext>
      </extLst>
    </cacheHierarchy>
    <cacheHierarchy uniqueName="[Measures].[Count of Joined Month]" caption="Count of Joined Month" measure="1" displayFolder="" measureGroup="Table117  Employee ID   Gender" count="0" hidden="1">
      <extLst>
        <ext xmlns:x15="http://schemas.microsoft.com/office/spreadsheetml/2010/11/main" uri="{B97F6D7D-B522-45F9-BDA1-12C45D357490}">
          <x15:cacheHierarchy aggregatedColumn="30"/>
        </ext>
      </extLst>
    </cacheHierarchy>
    <cacheHierarchy uniqueName="[Measures].[Sum of Salary 2]" caption="Sum of Salary 2" measure="1" displayFolder="" measureGroup="Table117  Employee ID   Gender" count="0" hidden="1">
      <extLst>
        <ext xmlns:x15="http://schemas.microsoft.com/office/spreadsheetml/2010/11/main" uri="{B97F6D7D-B522-45F9-BDA1-12C45D357490}">
          <x15:cacheHierarchy aggregatedColumn="28"/>
        </ext>
      </extLst>
    </cacheHierarchy>
    <cacheHierarchy uniqueName="[Measures].[Min of Salary]" caption="Min of Salary" measure="1" displayFolder="" measureGroup="Table117  Employee ID   Gender" count="0" hidden="1">
      <extLst>
        <ext xmlns:x15="http://schemas.microsoft.com/office/spreadsheetml/2010/11/main" uri="{B97F6D7D-B522-45F9-BDA1-12C45D357490}">
          <x15:cacheHierarchy aggregatedColumn="28"/>
        </ext>
      </extLst>
    </cacheHierarchy>
    <cacheHierarchy uniqueName="[Measures].[Sum of Salary 3]" caption="Sum of Salary 3" measure="1" displayFolder="" measureGroup="Range 1" count="0" hidden="1">
      <extLst>
        <ext xmlns:x15="http://schemas.microsoft.com/office/spreadsheetml/2010/11/main" uri="{B97F6D7D-B522-45F9-BDA1-12C45D357490}">
          <x15:cacheHierarchy aggregatedColumn="12"/>
        </ext>
      </extLst>
    </cacheHierarchy>
    <cacheHierarchy uniqueName="[Measures].[Count of Name]" caption="Count of Name" measure="1" displayFolder="" measureGroup="Range 1" count="0" hidden="1">
      <extLst>
        <ext xmlns:x15="http://schemas.microsoft.com/office/spreadsheetml/2010/11/main" uri="{B97F6D7D-B522-45F9-BDA1-12C45D357490}">
          <x15:cacheHierarchy aggregatedColumn="9"/>
        </ext>
      </extLst>
    </cacheHierarchy>
    <cacheHierarchy uniqueName="[Measures].[Count of Employee ID]" caption="Count of Employee ID" measure="1" displayFolder="" measureGroup="Range 2" count="0" hidden="1">
      <extLst>
        <ext xmlns:x15="http://schemas.microsoft.com/office/spreadsheetml/2010/11/main" uri="{B97F6D7D-B522-45F9-BDA1-12C45D357490}">
          <x15:cacheHierarchy aggregatedColumn="16"/>
        </ext>
      </extLst>
    </cacheHierarchy>
    <cacheHierarchy uniqueName="[Measures].[Sum of Salary 4]" caption="Sum of Salary 4" measure="1" displayFolder="" measureGroup="Range 2" count="0" hidden="1">
      <extLst>
        <ext xmlns:x15="http://schemas.microsoft.com/office/spreadsheetml/2010/11/main" uri="{B97F6D7D-B522-45F9-BDA1-12C45D357490}">
          <x15:cacheHierarchy aggregatedColumn="20"/>
        </ext>
      </extLst>
    </cacheHierarchy>
    <cacheHierarchy uniqueName="[Measures].[Average of Salary 2]" caption="Average of Salary 2" measure="1" displayFolder="" measureGroup="Range 2" count="0" oneField="1" hidden="1">
      <fieldsUsage count="1">
        <fieldUsage x="1"/>
      </fieldsUsage>
      <extLst>
        <ext xmlns:x15="http://schemas.microsoft.com/office/spreadsheetml/2010/11/main" uri="{B97F6D7D-B522-45F9-BDA1-12C45D357490}">
          <x15:cacheHierarchy aggregatedColumn="20"/>
        </ext>
      </extLst>
    </cacheHierarchy>
    <cacheHierarchy uniqueName="[Measures].[Count of Employee ID 2]" caption="Count of Employee ID 2" measure="1" displayFolder="" measureGroup="Range" count="0" hidden="1">
      <extLst>
        <ext xmlns:x15="http://schemas.microsoft.com/office/spreadsheetml/2010/11/main" uri="{B97F6D7D-B522-45F9-BDA1-12C45D357490}">
          <x15:cacheHierarchy aggregatedColumn="0"/>
        </ext>
      </extLst>
    </cacheHierarchy>
    <cacheHierarchy uniqueName="[Measures].[Count of Department]" caption="Count of Department" measure="1" displayFolder="" measureGroup="Range" count="0" hidden="1">
      <extLst>
        <ext xmlns:x15="http://schemas.microsoft.com/office/spreadsheetml/2010/11/main" uri="{B97F6D7D-B522-45F9-BDA1-12C45D357490}">
          <x15:cacheHierarchy aggregatedColumn="2"/>
        </ext>
      </extLst>
    </cacheHierarchy>
  </cacheHierarchies>
  <kpis count="0"/>
  <dimensions count="5">
    <dimension measure="1" name="Measures" uniqueName="[Measures]" caption="Measures"/>
    <dimension name="Range" uniqueName="[Range]" caption="Range"/>
    <dimension name="Range 1" uniqueName="[Range 1]" caption="Range 1"/>
    <dimension name="Range 2" uniqueName="[Range 2]" caption="Range 2"/>
    <dimension name="Table117  Employee ID   Gender" uniqueName="[Table117  Employee ID   Gender]" caption="Table117  Employee ID   Gender"/>
  </dimensions>
  <measureGroups count="4">
    <measureGroup name="Range" caption="Range"/>
    <measureGroup name="Range 1" caption="Range 1"/>
    <measureGroup name="Range 2" caption="Range 2"/>
    <measureGroup name="Table117  Employee ID   Gender" caption="Table117  Employee ID   Gender"/>
  </measureGroups>
  <maps count="4">
    <map measureGroup="0" dimension="1"/>
    <map measureGroup="1" dimension="2"/>
    <map measureGroup="2" dimension="3"/>
    <map measureGroup="3" dimension="4"/>
  </maps>
  <extLst>
    <ext xmlns:x14="http://schemas.microsoft.com/office/spreadsheetml/2009/9/main" uri="{725AE2AE-9491-48be-B2B4-4EB974FC3084}">
      <x14:pivotCacheDefinition pivotCacheId="450727879"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
  <r>
    <s v="EMP1000"/>
    <s v="Unknown"/>
    <x v="0"/>
    <s v="Unknown"/>
    <n v="66280.929577464791"/>
    <x v="0"/>
    <n v="2"/>
    <x v="0"/>
  </r>
  <r>
    <s v="EMP1001"/>
    <s v="Eve Adams"/>
    <x v="1"/>
    <s v="Germany"/>
    <n v="54255"/>
    <x v="1"/>
    <n v="1"/>
    <x v="1"/>
  </r>
  <r>
    <s v="EMP1002"/>
    <s v="Alice Brown"/>
    <x v="0"/>
    <s v="Germany"/>
    <n v="63184"/>
    <x v="2"/>
    <n v="2"/>
    <x v="0"/>
  </r>
  <r>
    <s v="EMP1003"/>
    <s v="John Doe"/>
    <x v="2"/>
    <s v="USA"/>
    <n v="94406"/>
    <x v="3"/>
    <n v="1"/>
    <x v="2"/>
  </r>
  <r>
    <s v="EMP1004"/>
    <s v="Jane Smith"/>
    <x v="2"/>
    <s v="Germany"/>
    <n v="64120"/>
    <x v="4"/>
    <n v="1"/>
    <x v="2"/>
  </r>
  <r>
    <s v="EMP1005"/>
    <s v="Alice Brown"/>
    <x v="3"/>
    <s v="India"/>
    <n v="78421"/>
    <x v="5"/>
    <n v="2"/>
    <x v="3"/>
  </r>
  <r>
    <s v="EMP1006"/>
    <s v="Sam Wilson"/>
    <x v="2"/>
    <s v="Unknown"/>
    <n v="67721"/>
    <x v="6"/>
    <n v="2.9411764705882355"/>
    <x v="2"/>
  </r>
  <r>
    <s v="EMP1007"/>
    <s v="Chris Lee"/>
    <x v="4"/>
    <s v="Unknown"/>
    <n v="35364"/>
    <x v="7"/>
    <n v="2"/>
    <x v="1"/>
  </r>
  <r>
    <s v="EMP1008"/>
    <s v="Alice Brown"/>
    <x v="3"/>
    <s v="Germany"/>
    <n v="97881"/>
    <x v="8"/>
    <n v="2.9491525423728815"/>
    <x v="3"/>
  </r>
  <r>
    <s v="EMP1009"/>
    <s v="Chris Lee"/>
    <x v="1"/>
    <s v="UK"/>
    <n v="91846"/>
    <x v="9"/>
    <n v="2.9491525423728815"/>
    <x v="2"/>
  </r>
  <r>
    <s v="EMP1010"/>
    <s v="Sam Wilson"/>
    <x v="0"/>
    <s v="UK"/>
    <n v="64247"/>
    <x v="10"/>
    <n v="1"/>
    <x v="3"/>
  </r>
  <r>
    <s v="EMP1011"/>
    <s v="Sam Wilson"/>
    <x v="3"/>
    <s v="USA"/>
    <n v="91180"/>
    <x v="11"/>
    <n v="5"/>
    <x v="2"/>
  </r>
  <r>
    <s v="EMP1012"/>
    <s v="Bob Johnson"/>
    <x v="2"/>
    <s v="Unknown"/>
    <n v="96418"/>
    <x v="12"/>
    <n v="5"/>
    <x v="2"/>
  </r>
  <r>
    <s v="EMP1013"/>
    <s v="Sam Wilson"/>
    <x v="5"/>
    <s v="India"/>
    <n v="62158"/>
    <x v="13"/>
    <n v="4"/>
    <x v="0"/>
  </r>
  <r>
    <s v="EMP1014"/>
    <s v="Jane Smith"/>
    <x v="1"/>
    <s v="Unknown"/>
    <n v="59894"/>
    <x v="14"/>
    <n v="2"/>
    <x v="2"/>
  </r>
  <r>
    <s v="EMP1015"/>
    <s v="Unknown"/>
    <x v="3"/>
    <s v="India"/>
    <n v="92443"/>
    <x v="15"/>
    <n v="3"/>
    <x v="1"/>
  </r>
  <r>
    <s v="EMP1016"/>
    <s v="Bob Johnson"/>
    <x v="5"/>
    <s v="Germany"/>
    <n v="90271"/>
    <x v="16"/>
    <n v="2.9285714285714284"/>
    <x v="0"/>
  </r>
  <r>
    <s v="EMP1017"/>
    <s v="Jane Smith"/>
    <x v="0"/>
    <s v="Australia"/>
    <n v="41341"/>
    <x v="17"/>
    <n v="1"/>
    <x v="1"/>
  </r>
  <r>
    <s v="EMP1018"/>
    <s v="Alice Brown"/>
    <x v="0"/>
    <s v="UK"/>
    <n v="73602"/>
    <x v="18"/>
    <n v="2.9459459459459461"/>
    <x v="0"/>
  </r>
  <r>
    <s v="EMP1019"/>
    <s v="Eve Adams"/>
    <x v="5"/>
    <s v="India"/>
    <n v="67531"/>
    <x v="19"/>
    <n v="5"/>
    <x v="3"/>
  </r>
  <r>
    <s v="EMP1020"/>
    <s v="Jane Smith"/>
    <x v="1"/>
    <s v="USA"/>
    <n v="65248.853658536587"/>
    <x v="20"/>
    <n v="2"/>
    <x v="1"/>
  </r>
  <r>
    <s v="EMP1021"/>
    <s v="Jane Smith"/>
    <x v="1"/>
    <s v="Unknown"/>
    <n v="98922"/>
    <x v="21"/>
    <n v="4"/>
    <x v="0"/>
  </r>
  <r>
    <s v="EMP1022"/>
    <s v="Eve Adams"/>
    <x v="0"/>
    <s v="India"/>
    <n v="38333"/>
    <x v="22"/>
    <n v="5"/>
    <x v="0"/>
  </r>
  <r>
    <s v="EMP1023"/>
    <s v="Alice Brown"/>
    <x v="4"/>
    <s v="UK"/>
    <n v="36515"/>
    <x v="23"/>
    <n v="3"/>
    <x v="2"/>
  </r>
  <r>
    <s v="EMP1024"/>
    <s v="Sam Wilson"/>
    <x v="0"/>
    <s v="Unknown"/>
    <n v="91005"/>
    <x v="24"/>
    <n v="1"/>
    <x v="1"/>
  </r>
  <r>
    <s v="EMP1025"/>
    <s v="Chris Lee"/>
    <x v="5"/>
    <s v="Unknown"/>
    <n v="52272"/>
    <x v="25"/>
    <n v="3"/>
    <x v="0"/>
  </r>
  <r>
    <s v="EMP1026"/>
    <s v="Eve Adams"/>
    <x v="2"/>
    <s v="Germany"/>
    <n v="76518"/>
    <x v="26"/>
    <n v="2"/>
    <x v="3"/>
  </r>
  <r>
    <s v="EMP1027"/>
    <s v="Alice Brown"/>
    <x v="3"/>
    <s v="UK"/>
    <n v="41448"/>
    <x v="27"/>
    <n v="3"/>
    <x v="1"/>
  </r>
  <r>
    <s v="EMP1028"/>
    <s v="John Doe"/>
    <x v="1"/>
    <s v="UK"/>
    <n v="49282"/>
    <x v="28"/>
    <n v="2"/>
    <x v="3"/>
  </r>
  <r>
    <s v="EMP1029"/>
    <s v="Bob Johnson"/>
    <x v="4"/>
    <s v="UK"/>
    <n v="92959"/>
    <x v="29"/>
    <n v="5"/>
    <x v="0"/>
  </r>
  <r>
    <s v="EMP1030"/>
    <s v="Unknown"/>
    <x v="4"/>
    <s v="Unknown"/>
    <n v="92259"/>
    <x v="0"/>
    <n v="1"/>
    <x v="0"/>
  </r>
  <r>
    <s v="EMP1031"/>
    <s v="Eve Adams"/>
    <x v="1"/>
    <s v="Germany"/>
    <n v="92299"/>
    <x v="30"/>
    <n v="3"/>
    <x v="2"/>
  </r>
  <r>
    <s v="EMP1032"/>
    <s v="Sam Wilson"/>
    <x v="1"/>
    <s v="Unknown"/>
    <n v="95586"/>
    <x v="31"/>
    <n v="3"/>
    <x v="1"/>
  </r>
  <r>
    <s v="EMP1033"/>
    <s v="Chris Lee"/>
    <x v="5"/>
    <s v="USA"/>
    <n v="95367"/>
    <x v="32"/>
    <n v="2.9381443298969074"/>
    <x v="2"/>
  </r>
  <r>
    <s v="EMP1034"/>
    <s v="John Doe"/>
    <x v="2"/>
    <s v="Australia"/>
    <n v="79549"/>
    <x v="33"/>
    <n v="3"/>
    <x v="0"/>
  </r>
  <r>
    <s v="EMP1035"/>
    <s v="Alice Brown"/>
    <x v="5"/>
    <s v="UK"/>
    <n v="54463"/>
    <x v="34"/>
    <n v="4"/>
    <x v="2"/>
  </r>
  <r>
    <s v="EMP1036"/>
    <s v="Alice Brown"/>
    <x v="3"/>
    <s v="USA"/>
    <n v="89781"/>
    <x v="35"/>
    <n v="2.9263157894736844"/>
    <x v="3"/>
  </r>
  <r>
    <s v="EMP1037"/>
    <s v="Alice Brown"/>
    <x v="1"/>
    <s v="Unknown"/>
    <n v="64796"/>
    <x v="36"/>
    <n v="2.9263157894736844"/>
    <x v="1"/>
  </r>
  <r>
    <s v="EMP1038"/>
    <s v="John Doe"/>
    <x v="4"/>
    <s v="UK"/>
    <n v="52093"/>
    <x v="37"/>
    <n v="5"/>
    <x v="0"/>
  </r>
  <r>
    <s v="EMP1039"/>
    <s v="Chris Lee"/>
    <x v="1"/>
    <s v="UK"/>
    <n v="48224"/>
    <x v="38"/>
    <n v="3"/>
    <x v="0"/>
  </r>
  <r>
    <s v="EMP1040"/>
    <s v="Bob Johnson"/>
    <x v="0"/>
    <s v="UK"/>
    <n v="64268.634615384617"/>
    <x v="0"/>
    <n v="4"/>
    <x v="3"/>
  </r>
  <r>
    <s v="EMP1041"/>
    <s v="Alice Brown"/>
    <x v="3"/>
    <s v="Germany"/>
    <n v="33956"/>
    <x v="39"/>
    <n v="2.8913043478260869"/>
    <x v="0"/>
  </r>
  <r>
    <s v="EMP1042"/>
    <s v="Bob Johnson"/>
    <x v="5"/>
    <s v="Australia"/>
    <n v="64913"/>
    <x v="40"/>
    <n v="1"/>
    <x v="3"/>
  </r>
  <r>
    <s v="EMP1043"/>
    <s v="Alice Brown"/>
    <x v="4"/>
    <s v="Australia"/>
    <n v="35326"/>
    <x v="41"/>
    <n v="2.912087912087912"/>
    <x v="3"/>
  </r>
  <r>
    <s v="EMP1044"/>
    <s v="Chris Lee"/>
    <x v="0"/>
    <s v="Unknown"/>
    <n v="81610"/>
    <x v="42"/>
    <n v="1"/>
    <x v="0"/>
  </r>
  <r>
    <s v="EMP1045"/>
    <s v="Unknown"/>
    <x v="1"/>
    <s v="Unknown"/>
    <n v="58962"/>
    <x v="43"/>
    <n v="3"/>
    <x v="1"/>
  </r>
  <r>
    <s v="EMP1046"/>
    <s v="Chris Lee"/>
    <x v="3"/>
    <s v="Germany"/>
    <n v="92701"/>
    <x v="44"/>
    <n v="3"/>
    <x v="1"/>
  </r>
  <r>
    <s v="EMP1047"/>
    <s v="Chris Lee"/>
    <x v="1"/>
    <s v="India"/>
    <n v="58245"/>
    <x v="45"/>
    <n v="4"/>
    <x v="0"/>
  </r>
  <r>
    <s v="EMP1048"/>
    <s v="John Doe"/>
    <x v="0"/>
    <s v="Unknown"/>
    <n v="66513"/>
    <x v="46"/>
    <n v="2"/>
    <x v="1"/>
  </r>
  <r>
    <s v="EMP1049"/>
    <s v="Eve Adams"/>
    <x v="1"/>
    <s v="Germany"/>
    <n v="78720"/>
    <x v="47"/>
    <n v="5"/>
    <x v="3"/>
  </r>
  <r>
    <s v="EMP1050"/>
    <s v="Chris Lee"/>
    <x v="5"/>
    <s v="Unknown"/>
    <n v="30686"/>
    <x v="0"/>
    <n v="2"/>
    <x v="3"/>
  </r>
  <r>
    <s v="EMP1051"/>
    <s v="Sam Wilson"/>
    <x v="2"/>
    <s v="India"/>
    <n v="39423"/>
    <x v="48"/>
    <n v="5"/>
    <x v="0"/>
  </r>
  <r>
    <s v="EMP1052"/>
    <s v="Eve Adams"/>
    <x v="4"/>
    <s v="Unknown"/>
    <n v="30280"/>
    <x v="49"/>
    <n v="1"/>
    <x v="0"/>
  </r>
  <r>
    <s v="EMP1053"/>
    <s v="Eve Adams"/>
    <x v="0"/>
    <s v="UK"/>
    <n v="33352"/>
    <x v="50"/>
    <n v="3"/>
    <x v="3"/>
  </r>
  <r>
    <s v="EMP1054"/>
    <s v="Bob Johnson"/>
    <x v="4"/>
    <s v="UK"/>
    <n v="75633"/>
    <x v="51"/>
    <n v="5"/>
    <x v="1"/>
  </r>
  <r>
    <s v="EMP1055"/>
    <s v="Chris Lee"/>
    <x v="5"/>
    <s v="USA"/>
    <n v="74815"/>
    <x v="52"/>
    <n v="5"/>
    <x v="3"/>
  </r>
  <r>
    <s v="EMP1056"/>
    <s v="John Doe"/>
    <x v="2"/>
    <s v="Australia"/>
    <n v="60011"/>
    <x v="53"/>
    <n v="1"/>
    <x v="2"/>
  </r>
  <r>
    <s v="EMP1057"/>
    <s v="Eve Adams"/>
    <x v="5"/>
    <s v="India"/>
    <n v="96949"/>
    <x v="54"/>
    <n v="3"/>
    <x v="0"/>
  </r>
  <r>
    <s v="EMP1058"/>
    <s v="Sam Wilson"/>
    <x v="4"/>
    <s v="Unknown"/>
    <n v="84924"/>
    <x v="55"/>
    <n v="5"/>
    <x v="2"/>
  </r>
  <r>
    <s v="EMP1059"/>
    <s v="Sam Wilson"/>
    <x v="0"/>
    <s v="USA"/>
    <n v="82033"/>
    <x v="56"/>
    <n v="1"/>
    <x v="0"/>
  </r>
  <r>
    <s v="EMP1060"/>
    <s v="Unknown"/>
    <x v="4"/>
    <s v="Germany"/>
    <n v="64763.364705882355"/>
    <x v="0"/>
    <n v="5"/>
    <x v="0"/>
  </r>
  <r>
    <s v="EMP1061"/>
    <s v="Eve Adams"/>
    <x v="5"/>
    <s v="Australia"/>
    <n v="31499"/>
    <x v="57"/>
    <n v="2"/>
    <x v="0"/>
  </r>
  <r>
    <s v="EMP1062"/>
    <s v="Chris Lee"/>
    <x v="3"/>
    <s v="UK"/>
    <n v="97981"/>
    <x v="58"/>
    <n v="5"/>
    <x v="3"/>
  </r>
  <r>
    <s v="EMP1063"/>
    <s v="Eve Adams"/>
    <x v="1"/>
    <s v="USA"/>
    <n v="36541"/>
    <x v="59"/>
    <n v="2"/>
    <x v="1"/>
  </r>
  <r>
    <s v="EMP1064"/>
    <s v="John Doe"/>
    <x v="3"/>
    <s v="India"/>
    <n v="84737"/>
    <x v="60"/>
    <n v="1"/>
    <x v="2"/>
  </r>
  <r>
    <s v="EMP1065"/>
    <s v="Sam Wilson"/>
    <x v="0"/>
    <s v="India"/>
    <n v="33468"/>
    <x v="61"/>
    <n v="4"/>
    <x v="2"/>
  </r>
  <r>
    <s v="EMP1066"/>
    <s v="Sam Wilson"/>
    <x v="5"/>
    <s v="Australia"/>
    <n v="96365"/>
    <x v="62"/>
    <n v="3"/>
    <x v="1"/>
  </r>
  <r>
    <s v="EMP1067"/>
    <s v="Alice Brown"/>
    <x v="2"/>
    <s v="India"/>
    <n v="61942"/>
    <x v="63"/>
    <n v="3"/>
    <x v="3"/>
  </r>
  <r>
    <s v="EMP1068"/>
    <s v="Sam Wilson"/>
    <x v="0"/>
    <s v="UK"/>
    <n v="41467"/>
    <x v="64"/>
    <n v="2"/>
    <x v="0"/>
  </r>
  <r>
    <s v="EMP1069"/>
    <s v="Bob Johnson"/>
    <x v="0"/>
    <s v="India"/>
    <n v="77096"/>
    <x v="65"/>
    <n v="1"/>
    <x v="0"/>
  </r>
  <r>
    <s v="EMP1070"/>
    <s v="Eve Adams"/>
    <x v="2"/>
    <s v="Australia"/>
    <n v="69952"/>
    <x v="66"/>
    <n v="5"/>
    <x v="3"/>
  </r>
  <r>
    <s v="EMP1071"/>
    <s v="Eve Adams"/>
    <x v="4"/>
    <s v="USA"/>
    <n v="85065"/>
    <x v="67"/>
    <n v="3"/>
    <x v="0"/>
  </r>
  <r>
    <s v="EMP1072"/>
    <s v="Bob Johnson"/>
    <x v="4"/>
    <s v="India"/>
    <n v="56512"/>
    <x v="68"/>
    <n v="2.8571428571428572"/>
    <x v="1"/>
  </r>
  <r>
    <s v="EMP1073"/>
    <s v="John Doe"/>
    <x v="2"/>
    <s v="India"/>
    <n v="91101"/>
    <x v="69"/>
    <n v="4"/>
    <x v="3"/>
  </r>
  <r>
    <s v="EMP1074"/>
    <s v="Sam Wilson"/>
    <x v="5"/>
    <s v="Germany"/>
    <n v="41243"/>
    <x v="70"/>
    <n v="2.838709677419355"/>
    <x v="0"/>
  </r>
  <r>
    <s v="EMP1075"/>
    <s v="Unknown"/>
    <x v="2"/>
    <s v="Unknown"/>
    <n v="96142"/>
    <x v="71"/>
    <n v="1"/>
    <x v="1"/>
  </r>
  <r>
    <s v="EMP1076"/>
    <s v="Eve Adams"/>
    <x v="3"/>
    <s v="India"/>
    <n v="94301"/>
    <x v="72"/>
    <n v="1"/>
    <x v="2"/>
  </r>
  <r>
    <s v="EMP1077"/>
    <s v="Jane Smith"/>
    <x v="5"/>
    <s v="UK"/>
    <n v="69166"/>
    <x v="73"/>
    <n v="1"/>
    <x v="3"/>
  </r>
  <r>
    <s v="EMP1078"/>
    <s v="Sam Wilson"/>
    <x v="5"/>
    <s v="UK"/>
    <n v="78245"/>
    <x v="74"/>
    <n v="2"/>
    <x v="0"/>
  </r>
  <r>
    <s v="EMP1079"/>
    <s v="Chris Lee"/>
    <x v="2"/>
    <s v="USA"/>
    <n v="66079"/>
    <x v="75"/>
    <n v="2"/>
    <x v="1"/>
  </r>
  <r>
    <s v="EMP1080"/>
    <s v="Eve Adams"/>
    <x v="4"/>
    <s v="India"/>
    <n v="63575.515151515152"/>
    <x v="0"/>
    <n v="2.9649122807017543"/>
    <x v="0"/>
  </r>
  <r>
    <s v="EMP1081"/>
    <s v="Jane Smith"/>
    <x v="2"/>
    <s v="USA"/>
    <n v="95621"/>
    <x v="76"/>
    <n v="3"/>
    <x v="3"/>
  </r>
  <r>
    <s v="EMP1082"/>
    <s v="Eve Adams"/>
    <x v="3"/>
    <s v="UK"/>
    <n v="42262"/>
    <x v="77"/>
    <n v="1"/>
    <x v="0"/>
  </r>
  <r>
    <s v="EMP1083"/>
    <s v="Sam Wilson"/>
    <x v="2"/>
    <s v="India"/>
    <n v="99621"/>
    <x v="78"/>
    <n v="3"/>
    <x v="1"/>
  </r>
  <r>
    <s v="EMP1084"/>
    <s v="John Doe"/>
    <x v="4"/>
    <s v="India"/>
    <n v="44682"/>
    <x v="79"/>
    <n v="4"/>
    <x v="3"/>
  </r>
  <r>
    <s v="EMP1085"/>
    <s v="Chris Lee"/>
    <x v="0"/>
    <s v="Unknown"/>
    <n v="35163"/>
    <x v="80"/>
    <n v="5"/>
    <x v="1"/>
  </r>
  <r>
    <s v="EMP1086"/>
    <s v="Chris Lee"/>
    <x v="3"/>
    <s v="India"/>
    <n v="33483"/>
    <x v="81"/>
    <n v="4"/>
    <x v="2"/>
  </r>
  <r>
    <s v="EMP1087"/>
    <s v="Sam Wilson"/>
    <x v="1"/>
    <s v="Germany"/>
    <n v="55303"/>
    <x v="82"/>
    <n v="4"/>
    <x v="2"/>
  </r>
  <r>
    <s v="EMP1088"/>
    <s v="Chris Lee"/>
    <x v="3"/>
    <s v="Unknown"/>
    <n v="63434"/>
    <x v="83"/>
    <n v="3"/>
    <x v="0"/>
  </r>
  <r>
    <s v="EMP1089"/>
    <s v="Jane Smith"/>
    <x v="5"/>
    <s v="Australia"/>
    <n v="38830"/>
    <x v="84"/>
    <n v="3"/>
    <x v="1"/>
  </r>
  <r>
    <s v="EMP1090"/>
    <s v="Unknown"/>
    <x v="4"/>
    <s v="UK"/>
    <n v="50741"/>
    <x v="85"/>
    <n v="3"/>
    <x v="0"/>
  </r>
  <r>
    <s v="EMP1091"/>
    <s v="Alice Brown"/>
    <x v="1"/>
    <s v="Australia"/>
    <n v="69420"/>
    <x v="86"/>
    <n v="1"/>
    <x v="2"/>
  </r>
  <r>
    <s v="EMP1092"/>
    <s v="Jane Smith"/>
    <x v="3"/>
    <s v="Unknown"/>
    <n v="80588"/>
    <x v="87"/>
    <n v="5"/>
    <x v="2"/>
  </r>
  <r>
    <s v="EMP1093"/>
    <s v="Alice Brown"/>
    <x v="5"/>
    <s v="USA"/>
    <n v="76238"/>
    <x v="88"/>
    <n v="4"/>
    <x v="2"/>
  </r>
  <r>
    <s v="EMP1094"/>
    <s v="Bob Johnson"/>
    <x v="3"/>
    <s v="India"/>
    <n v="33264"/>
    <x v="89"/>
    <n v="2.8666666666666667"/>
    <x v="3"/>
  </r>
  <r>
    <s v="EMP1095"/>
    <s v="Alice Brown"/>
    <x v="0"/>
    <s v="Australia"/>
    <n v="96101"/>
    <x v="90"/>
    <n v="2.8666666666666667"/>
    <x v="1"/>
  </r>
  <r>
    <s v="EMP1096"/>
    <s v="Jane Smith"/>
    <x v="0"/>
    <s v="USA"/>
    <n v="72939"/>
    <x v="91"/>
    <n v="3"/>
    <x v="0"/>
  </r>
  <r>
    <s v="EMP1097"/>
    <s v="Sam Wilson"/>
    <x v="1"/>
    <s v="Germany"/>
    <n v="89333"/>
    <x v="92"/>
    <n v="1"/>
    <x v="2"/>
  </r>
  <r>
    <s v="EMP1098"/>
    <s v="Bob Johnson"/>
    <x v="3"/>
    <s v="Australia"/>
    <n v="70470"/>
    <x v="93"/>
    <n v="2.9069767441860463"/>
    <x v="2"/>
  </r>
  <r>
    <s v="EMP1099"/>
    <s v="Eve Adams"/>
    <x v="4"/>
    <s v="USA"/>
    <n v="70096"/>
    <x v="94"/>
    <n v="4"/>
    <x v="2"/>
  </r>
  <r>
    <s v="EMP1100"/>
    <s v="Bob Johnson"/>
    <x v="4"/>
    <s v="Unknown"/>
    <n v="63370.106382978724"/>
    <x v="95"/>
    <n v="2"/>
    <x v="1"/>
  </r>
  <r>
    <s v="EMP1101"/>
    <s v="Bob Johnson"/>
    <x v="3"/>
    <s v="Germany"/>
    <n v="66503"/>
    <x v="96"/>
    <n v="2.9024390243902438"/>
    <x v="2"/>
  </r>
  <r>
    <s v="EMP1102"/>
    <s v="Alice Brown"/>
    <x v="1"/>
    <s v="Germany"/>
    <n v="42096"/>
    <x v="97"/>
    <n v="2.9024390243902438"/>
    <x v="3"/>
  </r>
  <r>
    <s v="EMP1103"/>
    <s v="Alice Brown"/>
    <x v="4"/>
    <s v="Unknown"/>
    <n v="79145"/>
    <x v="98"/>
    <n v="5"/>
    <x v="1"/>
  </r>
  <r>
    <s v="EMP1104"/>
    <s v="Jane Smith"/>
    <x v="5"/>
    <s v="Australia"/>
    <n v="61556"/>
    <x v="99"/>
    <n v="1"/>
    <x v="0"/>
  </r>
  <r>
    <s v="EMP1105"/>
    <s v="Unknown"/>
    <x v="1"/>
    <s v="UK"/>
    <n v="87963"/>
    <x v="100"/>
    <n v="3"/>
    <x v="1"/>
  </r>
  <r>
    <s v="EMP1106"/>
    <s v="Eve Adams"/>
    <x v="3"/>
    <s v="Unknown"/>
    <n v="48325"/>
    <x v="101"/>
    <n v="2.8947368421052633"/>
    <x v="2"/>
  </r>
  <r>
    <s v="EMP1107"/>
    <s v="Sam Wilson"/>
    <x v="4"/>
    <s v="Australia"/>
    <n v="86412"/>
    <x v="102"/>
    <n v="2"/>
    <x v="3"/>
  </r>
  <r>
    <s v="EMP1108"/>
    <s v="Sam Wilson"/>
    <x v="1"/>
    <s v="Unknown"/>
    <n v="66761"/>
    <x v="103"/>
    <n v="1"/>
    <x v="0"/>
  </r>
  <r>
    <s v="EMP1109"/>
    <s v="Jane Smith"/>
    <x v="5"/>
    <s v="India"/>
    <n v="88850"/>
    <x v="104"/>
    <n v="1"/>
    <x v="3"/>
  </r>
  <r>
    <s v="EMP1110"/>
    <s v="Chris Lee"/>
    <x v="2"/>
    <s v="India"/>
    <n v="31293"/>
    <x v="0"/>
    <n v="2"/>
    <x v="3"/>
  </r>
  <r>
    <s v="EMP1111"/>
    <s v="Chris Lee"/>
    <x v="3"/>
    <s v="USA"/>
    <n v="34306"/>
    <x v="105"/>
    <n v="5"/>
    <x v="3"/>
  </r>
  <r>
    <s v="EMP1112"/>
    <s v="Eve Adams"/>
    <x v="0"/>
    <s v="India"/>
    <n v="78330"/>
    <x v="106"/>
    <n v="3"/>
    <x v="1"/>
  </r>
  <r>
    <s v="EMP1113"/>
    <s v="Alice Brown"/>
    <x v="3"/>
    <s v="USA"/>
    <n v="47653"/>
    <x v="107"/>
    <n v="1"/>
    <x v="2"/>
  </r>
  <r>
    <s v="EMP1114"/>
    <s v="Eve Adams"/>
    <x v="4"/>
    <s v="UK"/>
    <n v="44627"/>
    <x v="108"/>
    <n v="4"/>
    <x v="0"/>
  </r>
  <r>
    <s v="EMP1115"/>
    <s v="Bob Johnson"/>
    <x v="1"/>
    <s v="Germany"/>
    <n v="92343"/>
    <x v="109"/>
    <n v="4"/>
    <x v="3"/>
  </r>
  <r>
    <s v="EMP1116"/>
    <s v="Bob Johnson"/>
    <x v="4"/>
    <s v="Australia"/>
    <n v="38837"/>
    <x v="110"/>
    <n v="5"/>
    <x v="3"/>
  </r>
  <r>
    <s v="EMP1117"/>
    <s v="Bob Johnson"/>
    <x v="4"/>
    <s v="Unknown"/>
    <n v="73483"/>
    <x v="111"/>
    <n v="1"/>
    <x v="0"/>
  </r>
  <r>
    <s v="EMP1118"/>
    <s v="Chris Lee"/>
    <x v="2"/>
    <s v="India"/>
    <n v="95032"/>
    <x v="112"/>
    <n v="3"/>
    <x v="0"/>
  </r>
  <r>
    <s v="EMP1119"/>
    <s v="Eve Adams"/>
    <x v="2"/>
    <s v="Australia"/>
    <n v="44358"/>
    <x v="113"/>
    <n v="3"/>
    <x v="3"/>
  </r>
  <r>
    <s v="EMP1120"/>
    <s v="Unknown"/>
    <x v="3"/>
    <s v="USA"/>
    <n v="63232.928571428572"/>
    <x v="0"/>
    <n v="5"/>
    <x v="0"/>
  </r>
  <r>
    <s v="EMP1121"/>
    <s v="Chris Lee"/>
    <x v="2"/>
    <s v="USA"/>
    <n v="45676"/>
    <x v="114"/>
    <n v="2"/>
    <x v="0"/>
  </r>
  <r>
    <s v="EMP1122"/>
    <s v="Bob Johnson"/>
    <x v="2"/>
    <s v="Germany"/>
    <n v="52036"/>
    <x v="115"/>
    <n v="3"/>
    <x v="2"/>
  </r>
  <r>
    <s v="EMP1123"/>
    <s v="Jane Smith"/>
    <x v="5"/>
    <s v="Germany"/>
    <n v="30357"/>
    <x v="116"/>
    <n v="5"/>
    <x v="2"/>
  </r>
  <r>
    <s v="EMP1124"/>
    <s v="John Doe"/>
    <x v="3"/>
    <s v="Unknown"/>
    <n v="60034"/>
    <x v="117"/>
    <n v="1"/>
    <x v="3"/>
  </r>
  <r>
    <s v="EMP1125"/>
    <s v="John Doe"/>
    <x v="0"/>
    <s v="Unknown"/>
    <n v="90019"/>
    <x v="118"/>
    <n v="5"/>
    <x v="0"/>
  </r>
  <r>
    <s v="EMP1126"/>
    <s v="Bob Johnson"/>
    <x v="5"/>
    <s v="Germany"/>
    <n v="71494"/>
    <x v="119"/>
    <n v="3"/>
    <x v="2"/>
  </r>
  <r>
    <s v="EMP1127"/>
    <s v="John Doe"/>
    <x v="0"/>
    <s v="USA"/>
    <n v="91953"/>
    <x v="120"/>
    <n v="2"/>
    <x v="2"/>
  </r>
  <r>
    <s v="EMP1128"/>
    <s v="Chris Lee"/>
    <x v="2"/>
    <s v="USA"/>
    <n v="30402"/>
    <x v="121"/>
    <n v="1"/>
    <x v="0"/>
  </r>
  <r>
    <s v="EMP1129"/>
    <s v="Bob Johnson"/>
    <x v="5"/>
    <s v="UK"/>
    <n v="62994"/>
    <x v="122"/>
    <n v="3"/>
    <x v="0"/>
  </r>
  <r>
    <s v="EMP1130"/>
    <s v="Alice Brown"/>
    <x v="2"/>
    <s v="India"/>
    <n v="48289"/>
    <x v="0"/>
    <n v="3"/>
    <x v="2"/>
  </r>
  <r>
    <s v="EMP1131"/>
    <s v="Sam Wilson"/>
    <x v="4"/>
    <s v="Germany"/>
    <n v="34402"/>
    <x v="123"/>
    <n v="3"/>
    <x v="1"/>
  </r>
  <r>
    <s v="EMP1132"/>
    <s v="Eve Adams"/>
    <x v="1"/>
    <s v="USA"/>
    <n v="38678"/>
    <x v="124"/>
    <n v="3"/>
    <x v="1"/>
  </r>
  <r>
    <s v="EMP1133"/>
    <s v="Chris Lee"/>
    <x v="1"/>
    <s v="Germany"/>
    <n v="45758"/>
    <x v="125"/>
    <n v="3"/>
    <x v="0"/>
  </r>
  <r>
    <s v="EMP1134"/>
    <s v="Eve Adams"/>
    <x v="4"/>
    <s v="India"/>
    <n v="62476"/>
    <x v="126"/>
    <n v="1"/>
    <x v="1"/>
  </r>
  <r>
    <s v="EMP1135"/>
    <s v="Unknown"/>
    <x v="3"/>
    <s v="UK"/>
    <n v="39280"/>
    <x v="127"/>
    <n v="3"/>
    <x v="3"/>
  </r>
  <r>
    <s v="EMP1136"/>
    <s v="Jane Smith"/>
    <x v="0"/>
    <s v="India"/>
    <n v="60335"/>
    <x v="128"/>
    <n v="4"/>
    <x v="1"/>
  </r>
  <r>
    <s v="EMP1137"/>
    <s v="Chris Lee"/>
    <x v="1"/>
    <s v="Germany"/>
    <n v="84968"/>
    <x v="129"/>
    <n v="3.0909090909090908"/>
    <x v="0"/>
  </r>
  <r>
    <s v="EMP1138"/>
    <s v="Chris Lee"/>
    <x v="4"/>
    <s v="Australia"/>
    <n v="84750"/>
    <x v="130"/>
    <n v="4"/>
    <x v="3"/>
  </r>
  <r>
    <s v="EMP1139"/>
    <s v="Bob Johnson"/>
    <x v="3"/>
    <s v="Unknown"/>
    <n v="73348"/>
    <x v="131"/>
    <n v="2"/>
    <x v="0"/>
  </r>
  <r>
    <s v="EMP1140"/>
    <s v="Chris Lee"/>
    <x v="2"/>
    <s v="USA"/>
    <n v="73697"/>
    <x v="132"/>
    <n v="4"/>
    <x v="1"/>
  </r>
  <r>
    <s v="EMP1141"/>
    <s v="Jane Smith"/>
    <x v="4"/>
    <s v="USA"/>
    <n v="66882"/>
    <x v="133"/>
    <n v="5"/>
    <x v="1"/>
  </r>
  <r>
    <s v="EMP1142"/>
    <s v="Alice Brown"/>
    <x v="4"/>
    <s v="Unknown"/>
    <n v="86775"/>
    <x v="134"/>
    <n v="3"/>
    <x v="1"/>
  </r>
  <r>
    <s v="EMP1143"/>
    <s v="Chris Lee"/>
    <x v="2"/>
    <s v="UK"/>
    <n v="91620"/>
    <x v="135"/>
    <n v="2.6666666666666665"/>
    <x v="0"/>
  </r>
  <r>
    <s v="EMP1144"/>
    <s v="Eve Adams"/>
    <x v="5"/>
    <s v="Unknown"/>
    <n v="94148"/>
    <x v="136"/>
    <n v="2"/>
    <x v="0"/>
  </r>
  <r>
    <s v="EMP1145"/>
    <s v="Sam Wilson"/>
    <x v="2"/>
    <s v="Australia"/>
    <n v="35627"/>
    <x v="137"/>
    <n v="5"/>
    <x v="3"/>
  </r>
  <r>
    <s v="EMP1146"/>
    <s v="John Doe"/>
    <x v="4"/>
    <s v="USA"/>
    <n v="57141"/>
    <x v="138"/>
    <n v="2"/>
    <x v="0"/>
  </r>
  <r>
    <s v="EMP1147"/>
    <s v="Bob Johnson"/>
    <x v="2"/>
    <s v="Australia"/>
    <n v="65270"/>
    <x v="139"/>
    <n v="1"/>
    <x v="0"/>
  </r>
  <r>
    <s v="EMP1148"/>
    <s v="Bob Johnson"/>
    <x v="5"/>
    <s v="UK"/>
    <n v="67335"/>
    <x v="140"/>
    <n v="1"/>
    <x v="1"/>
  </r>
  <r>
    <s v="EMP1149"/>
    <s v="Sam Wilson"/>
    <x v="4"/>
    <s v="India"/>
    <n v="98475"/>
    <x v="141"/>
    <n v="5"/>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95D681D-C1E7-4DFE-ACFF-14D420BC84D5}" name="PivotChartTable4" cacheId="179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1:B8" firstHeaderRow="1" firstDataRow="1" firstDataCol="1"/>
  <pivotFields count="4">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name="Average of Salary" fld="1" subtotal="average" baseField="0" baseItem="0"/>
  </dataFields>
  <chartFormats count="21">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1"/>
          </reference>
        </references>
      </pivotArea>
    </chartFormat>
    <chartFormat chart="0" format="2">
      <pivotArea type="data" outline="0" fieldPosition="0">
        <references count="2">
          <reference field="4294967294" count="1" selected="0">
            <x v="0"/>
          </reference>
          <reference field="0" count="1" selected="0">
            <x v="2"/>
          </reference>
        </references>
      </pivotArea>
    </chartFormat>
    <chartFormat chart="0" format="3">
      <pivotArea type="data" outline="0" fieldPosition="0">
        <references count="2">
          <reference field="4294967294" count="1" selected="0">
            <x v="0"/>
          </reference>
          <reference field="0" count="1" selected="0">
            <x v="3"/>
          </reference>
        </references>
      </pivotArea>
    </chartFormat>
    <chartFormat chart="0" format="4">
      <pivotArea type="data" outline="0" fieldPosition="0">
        <references count="2">
          <reference field="4294967294" count="1" selected="0">
            <x v="0"/>
          </reference>
          <reference field="0" count="1" selected="0">
            <x v="4"/>
          </reference>
        </references>
      </pivotArea>
    </chartFormat>
    <chartFormat chart="0" format="5">
      <pivotArea type="data" outline="0" fieldPosition="0">
        <references count="2">
          <reference field="4294967294" count="1" selected="0">
            <x v="0"/>
          </reference>
          <reference field="0" count="1" selected="0">
            <x v="5"/>
          </reference>
        </references>
      </pivotArea>
    </chartFormat>
    <chartFormat chart="0" format="6">
      <pivotArea type="data" outline="0" fieldPosition="0">
        <references count="2">
          <reference field="4294967294" count="1" selected="0">
            <x v="0"/>
          </reference>
          <reference field="0" count="1" selected="0">
            <x v="0"/>
          </reference>
        </references>
      </pivotArea>
    </chartFormat>
    <chartFormat chart="9" format="7" series="1">
      <pivotArea type="data" outline="0" fieldPosition="0">
        <references count="1">
          <reference field="4294967294" count="1" selected="0">
            <x v="0"/>
          </reference>
        </references>
      </pivotArea>
    </chartFormat>
    <chartFormat chart="9" format="8">
      <pivotArea type="data" outline="0" fieldPosition="0">
        <references count="2">
          <reference field="4294967294" count="1" selected="0">
            <x v="0"/>
          </reference>
          <reference field="0" count="1" selected="0">
            <x v="0"/>
          </reference>
        </references>
      </pivotArea>
    </chartFormat>
    <chartFormat chart="9" format="9">
      <pivotArea type="data" outline="0" fieldPosition="0">
        <references count="2">
          <reference field="4294967294" count="1" selected="0">
            <x v="0"/>
          </reference>
          <reference field="0" count="1" selected="0">
            <x v="1"/>
          </reference>
        </references>
      </pivotArea>
    </chartFormat>
    <chartFormat chart="9" format="10">
      <pivotArea type="data" outline="0" fieldPosition="0">
        <references count="2">
          <reference field="4294967294" count="1" selected="0">
            <x v="0"/>
          </reference>
          <reference field="0" count="1" selected="0">
            <x v="2"/>
          </reference>
        </references>
      </pivotArea>
    </chartFormat>
    <chartFormat chart="9" format="11">
      <pivotArea type="data" outline="0" fieldPosition="0">
        <references count="2">
          <reference field="4294967294" count="1" selected="0">
            <x v="0"/>
          </reference>
          <reference field="0" count="1" selected="0">
            <x v="3"/>
          </reference>
        </references>
      </pivotArea>
    </chartFormat>
    <chartFormat chart="9" format="12">
      <pivotArea type="data" outline="0" fieldPosition="0">
        <references count="2">
          <reference field="4294967294" count="1" selected="0">
            <x v="0"/>
          </reference>
          <reference field="0" count="1" selected="0">
            <x v="4"/>
          </reference>
        </references>
      </pivotArea>
    </chartFormat>
    <chartFormat chart="9" format="13">
      <pivotArea type="data" outline="0" fieldPosition="0">
        <references count="2">
          <reference field="4294967294" count="1" selected="0">
            <x v="0"/>
          </reference>
          <reference field="0" count="1" selected="0">
            <x v="5"/>
          </reference>
        </references>
      </pivotArea>
    </chartFormat>
    <chartFormat chart="10" format="14" series="1">
      <pivotArea type="data" outline="0" fieldPosition="0">
        <references count="1">
          <reference field="4294967294" count="1" selected="0">
            <x v="0"/>
          </reference>
        </references>
      </pivotArea>
    </chartFormat>
    <chartFormat chart="10" format="15">
      <pivotArea type="data" outline="0" fieldPosition="0">
        <references count="2">
          <reference field="4294967294" count="1" selected="0">
            <x v="0"/>
          </reference>
          <reference field="0" count="1" selected="0">
            <x v="0"/>
          </reference>
        </references>
      </pivotArea>
    </chartFormat>
    <chartFormat chart="10" format="16">
      <pivotArea type="data" outline="0" fieldPosition="0">
        <references count="2">
          <reference field="4294967294" count="1" selected="0">
            <x v="0"/>
          </reference>
          <reference field="0" count="1" selected="0">
            <x v="1"/>
          </reference>
        </references>
      </pivotArea>
    </chartFormat>
    <chartFormat chart="10" format="17">
      <pivotArea type="data" outline="0" fieldPosition="0">
        <references count="2">
          <reference field="4294967294" count="1" selected="0">
            <x v="0"/>
          </reference>
          <reference field="0" count="1" selected="0">
            <x v="2"/>
          </reference>
        </references>
      </pivotArea>
    </chartFormat>
    <chartFormat chart="10" format="18">
      <pivotArea type="data" outline="0" fieldPosition="0">
        <references count="2">
          <reference field="4294967294" count="1" selected="0">
            <x v="0"/>
          </reference>
          <reference field="0" count="1" selected="0">
            <x v="3"/>
          </reference>
        </references>
      </pivotArea>
    </chartFormat>
    <chartFormat chart="10" format="19">
      <pivotArea type="data" outline="0" fieldPosition="0">
        <references count="2">
          <reference field="4294967294" count="1" selected="0">
            <x v="0"/>
          </reference>
          <reference field="0" count="1" selected="0">
            <x v="4"/>
          </reference>
        </references>
      </pivotArea>
    </chartFormat>
    <chartFormat chart="10" format="20">
      <pivotArea type="data" outline="0" fieldPosition="0">
        <references count="2">
          <reference field="4294967294" count="1" selected="0">
            <x v="0"/>
          </reference>
          <reference field="0" count="1" selected="0">
            <x v="5"/>
          </reference>
        </references>
      </pivotArea>
    </chartFormat>
  </chartFormats>
  <pivotHierarchies count="52">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members count="1" level="1">
        <member name="[Range].[Gender].&amp;[Other]"/>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Salary"/>
    <pivotHierarchy dragToData="1"/>
    <pivotHierarchy dragToData="1"/>
  </pivotHierarchies>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7" columnCount="1" cacheId="1886173271">
        <x15:pivotRow count="1">
          <x15:c>
            <x15:v>61609.84210526316</x15:v>
          </x15:c>
        </x15:pivotRow>
        <x15:pivotRow count="1">
          <x15:c>
            <x15:v>65848.015856777507</x15:v>
          </x15:c>
        </x15:pivotRow>
        <x15:pivotRow count="1">
          <x15:c>
            <x15:v>66798.768398268396</x15:v>
          </x15:c>
        </x15:pivotRow>
        <x15:pivotRow count="1">
          <x15:c>
            <x15:v>62064.545384615383</x15:v>
          </x15:c>
        </x15:pivotRow>
        <x15:pivotRow count="1">
          <x15:c>
            <x15:v>70458.968901949789</x15:v>
          </x15:c>
        </x15:pivotRow>
        <x15:pivotRow count="1">
          <x15:c>
            <x15:v>68542.949259581874</x15:v>
          </x15:c>
        </x15:pivotRow>
        <x15:pivotRow count="1">
          <x15:c>
            <x15:v>66242.195551087949</x15:v>
          </x15:c>
        </x15:pivotRow>
      </x15:pivotTableData>
    </ext>
    <ext xmlns:x15="http://schemas.microsoft.com/office/spreadsheetml/2010/11/main" uri="{E67621CE-5B39-4880-91FE-76760E9C1902}">
      <x15:pivotTableUISettings sourceDataName="WorksheetConnection_Orginal data!$A$2:$H$152">
        <x15:activeTabTopLevelEntity name="[Range 2]"/>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670212D-487B-411B-B118-22EA30A2ECEC}" name="PivotChartTable1" cacheId="178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B8" firstHeaderRow="1" firstDataRow="1" firstDataCol="1"/>
  <pivotFields count="3">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name="Count of Employee ID" fld="1" subtotal="count" baseField="0" baseItem="0"/>
  </dataFields>
  <chartFormats count="3">
    <chartFormat chart="0"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52">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7" columnCount="1" cacheId="1293741638">
        <x15:pivotRow count="1">
          <x15:c>
            <x15:v>22</x15:v>
          </x15:c>
        </x15:pivotRow>
        <x15:pivotRow count="1">
          <x15:c>
            <x15:v>24</x15:v>
          </x15:c>
        </x15:pivotRow>
        <x15:pivotRow count="1">
          <x15:c>
            <x15:v>25</x15:v>
          </x15:c>
        </x15:pivotRow>
        <x15:pivotRow count="1">
          <x15:c>
            <x15:v>29</x15:v>
          </x15:c>
        </x15:pivotRow>
        <x15:pivotRow count="1">
          <x15:c>
            <x15:v>26</x15:v>
          </x15:c>
        </x15:pivotRow>
        <x15:pivotRow count="1">
          <x15:c>
            <x15:v>24</x15:v>
          </x15:c>
        </x15:pivotRow>
        <x15:pivotRow count="1">
          <x15:c>
            <x15:v>150</x15:v>
          </x15:c>
        </x15:pivotRow>
      </x15:pivotTableData>
    </ext>
    <ext xmlns:x15="http://schemas.microsoft.com/office/spreadsheetml/2010/11/main" uri="{E67621CE-5B39-4880-91FE-76760E9C1902}">
      <x15:pivotTableUISettings sourceDataName="WorksheetConnection_Orginal data!$A$2:$H$152">
        <x15:activeTabTopLevelEntity name="[Range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95D681D-C1E7-4DFE-ACFF-14D420BC84D5}" name="PivotChartTable3" cacheId="180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B8" firstHeaderRow="1" firstDataRow="1" firstDataCol="1"/>
  <pivotFields count="3">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name="Average of Salary" fld="1" subtotal="average" baseField="0" baseItem="0"/>
  </dataFields>
  <chartFormats count="7">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1"/>
          </reference>
        </references>
      </pivotArea>
    </chartFormat>
    <chartFormat chart="0" format="2">
      <pivotArea type="data" outline="0" fieldPosition="0">
        <references count="2">
          <reference field="4294967294" count="1" selected="0">
            <x v="0"/>
          </reference>
          <reference field="0" count="1" selected="0">
            <x v="2"/>
          </reference>
        </references>
      </pivotArea>
    </chartFormat>
    <chartFormat chart="0" format="3">
      <pivotArea type="data" outline="0" fieldPosition="0">
        <references count="2">
          <reference field="4294967294" count="1" selected="0">
            <x v="0"/>
          </reference>
          <reference field="0" count="1" selected="0">
            <x v="3"/>
          </reference>
        </references>
      </pivotArea>
    </chartFormat>
    <chartFormat chart="0" format="4">
      <pivotArea type="data" outline="0" fieldPosition="0">
        <references count="2">
          <reference field="4294967294" count="1" selected="0">
            <x v="0"/>
          </reference>
          <reference field="0" count="1" selected="0">
            <x v="4"/>
          </reference>
        </references>
      </pivotArea>
    </chartFormat>
    <chartFormat chart="0" format="5">
      <pivotArea type="data" outline="0" fieldPosition="0">
        <references count="2">
          <reference field="4294967294" count="1" selected="0">
            <x v="0"/>
          </reference>
          <reference field="0" count="1" selected="0">
            <x v="5"/>
          </reference>
        </references>
      </pivotArea>
    </chartFormat>
    <chartFormat chart="0" format="6">
      <pivotArea type="data" outline="0" fieldPosition="0">
        <references count="2">
          <reference field="4294967294" count="1" selected="0">
            <x v="0"/>
          </reference>
          <reference field="0" count="1" selected="0">
            <x v="0"/>
          </reference>
        </references>
      </pivotArea>
    </chartFormat>
  </chartFormats>
  <pivotHierarchies count="52">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Salary"/>
    <pivotHierarchy dragToData="1"/>
    <pivotHierarchy dragToData="1"/>
  </pivotHierarchies>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7" columnCount="1" cacheId="450727879">
        <x15:pivotRow count="1">
          <x15:c>
            <x15:v>61609.84210526316</x15:v>
          </x15:c>
        </x15:pivotRow>
        <x15:pivotRow count="1">
          <x15:c>
            <x15:v>65848.015856777507</x15:v>
          </x15:c>
        </x15:pivotRow>
        <x15:pivotRow count="1">
          <x15:c>
            <x15:v>66798.768398268396</x15:v>
          </x15:c>
        </x15:pivotRow>
        <x15:pivotRow count="1">
          <x15:c>
            <x15:v>62064.545384615383</x15:v>
          </x15:c>
        </x15:pivotRow>
        <x15:pivotRow count="1">
          <x15:c>
            <x15:v>70458.968901949789</x15:v>
          </x15:c>
        </x15:pivotRow>
        <x15:pivotRow count="1">
          <x15:c>
            <x15:v>68542.949259581874</x15:v>
          </x15:c>
        </x15:pivotRow>
        <x15:pivotRow count="1">
          <x15:c>
            <x15:v>66242.195551087949</x15:v>
          </x15:c>
        </x15:pivotRow>
      </x15:pivotTableData>
    </ext>
    <ext xmlns:x15="http://schemas.microsoft.com/office/spreadsheetml/2010/11/main" uri="{E67621CE-5B39-4880-91FE-76760E9C1902}">
      <x15:pivotTableUISettings sourceDataName="WorksheetConnection_Orginal data!$A$2:$H$152">
        <x15:activeTabTopLevelEntity name="[Range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670212D-487B-411B-B118-22EA30A2ECEC}" name="PivotChartTable2" cacheId="180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B8" firstHeaderRow="1" firstDataRow="1" firstDataCol="1"/>
  <pivotFields count="3">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name="Count of Employee ID"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52">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7" columnCount="1" cacheId="714831139">
        <x15:pivotRow count="1">
          <x15:c>
            <x15:v>22</x15:v>
          </x15:c>
        </x15:pivotRow>
        <x15:pivotRow count="1">
          <x15:c>
            <x15:v>24</x15:v>
          </x15:c>
        </x15:pivotRow>
        <x15:pivotRow count="1">
          <x15:c>
            <x15:v>25</x15:v>
          </x15:c>
        </x15:pivotRow>
        <x15:pivotRow count="1">
          <x15:c>
            <x15:v>29</x15:v>
          </x15:c>
        </x15:pivotRow>
        <x15:pivotRow count="1">
          <x15:c>
            <x15:v>26</x15:v>
          </x15:c>
        </x15:pivotRow>
        <x15:pivotRow count="1">
          <x15:c>
            <x15:v>24</x15:v>
          </x15:c>
        </x15:pivotRow>
        <x15:pivotRow count="1">
          <x15:c>
            <x15:v>150</x15:v>
          </x15:c>
        </x15:pivotRow>
      </x15:pivotTableData>
    </ext>
    <ext xmlns:x15="http://schemas.microsoft.com/office/spreadsheetml/2010/11/main" uri="{E67621CE-5B39-4880-91FE-76760E9C1902}">
      <x15:pivotTableUISettings sourceDataName="WorksheetConnection_Orginal data!$A$2:$H$152">
        <x15:activeTabTopLevelEntity name="[Range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B8ADA8F-834A-4C5D-98DF-0E655E348300}"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6:D13" firstHeaderRow="0" firstDataRow="1" firstDataCol="1"/>
  <pivotFields count="8">
    <pivotField dataField="1" showAll="0"/>
    <pivotField showAll="0"/>
    <pivotField axis="axisRow" showAll="0">
      <items count="7">
        <item x="0"/>
        <item x="1"/>
        <item x="3"/>
        <item x="4"/>
        <item x="2"/>
        <item x="5"/>
        <item t="default"/>
      </items>
    </pivotField>
    <pivotField showAll="0"/>
    <pivotField dataField="1" numFmtId="2" showAll="0"/>
    <pivotField showAll="0">
      <items count="1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t="default"/>
      </items>
    </pivotField>
    <pivotField numFmtId="1" showAll="0"/>
    <pivotField showAll="0">
      <items count="5">
        <item x="3"/>
        <item x="2"/>
        <item x="1"/>
        <item x="0"/>
        <item t="default"/>
      </items>
    </pivotField>
  </pivotFields>
  <rowFields count="1">
    <field x="2"/>
  </rowFields>
  <rowItems count="7">
    <i>
      <x/>
    </i>
    <i>
      <x v="1"/>
    </i>
    <i>
      <x v="2"/>
    </i>
    <i>
      <x v="3"/>
    </i>
    <i>
      <x v="4"/>
    </i>
    <i>
      <x v="5"/>
    </i>
    <i t="grand">
      <x/>
    </i>
  </rowItems>
  <colFields count="1">
    <field x="-2"/>
  </colFields>
  <colItems count="2">
    <i>
      <x/>
    </i>
    <i i="1">
      <x v="1"/>
    </i>
  </colItems>
  <dataFields count="2">
    <dataField name="Count of Employee ID" fld="0" subtotal="count" baseField="0" baseItem="0"/>
    <dataField name="Sum of Salary" fld="4" baseField="0" baseItem="0" numFmtId="2"/>
  </dataFields>
  <formats count="15">
    <format dxfId="2527">
      <pivotArea outline="0" collapsedLevelsAreSubtotals="1" fieldPosition="0">
        <references count="1">
          <reference field="4294967294" count="1" selected="0">
            <x v="0"/>
          </reference>
        </references>
      </pivotArea>
    </format>
    <format dxfId="2526">
      <pivotArea field="2" type="button" dataOnly="0" labelOnly="1" outline="0" axis="axisRow" fieldPosition="0"/>
    </format>
    <format dxfId="2525">
      <pivotArea dataOnly="0" labelOnly="1" outline="0" fieldPosition="0">
        <references count="1">
          <reference field="4294967294" count="2">
            <x v="0"/>
            <x v="1"/>
          </reference>
        </references>
      </pivotArea>
    </format>
    <format dxfId="2524">
      <pivotArea field="2" type="button" dataOnly="0" labelOnly="1" outline="0" axis="axisRow" fieldPosition="0"/>
    </format>
    <format dxfId="2523">
      <pivotArea dataOnly="0" labelOnly="1" outline="0" fieldPosition="0">
        <references count="1">
          <reference field="4294967294" count="2">
            <x v="0"/>
            <x v="1"/>
          </reference>
        </references>
      </pivotArea>
    </format>
    <format dxfId="2522">
      <pivotArea type="all" dataOnly="0" outline="0" fieldPosition="0"/>
    </format>
    <format dxfId="2521">
      <pivotArea outline="0" collapsedLevelsAreSubtotals="1" fieldPosition="0"/>
    </format>
    <format dxfId="2520">
      <pivotArea field="2" type="button" dataOnly="0" labelOnly="1" outline="0" axis="axisRow" fieldPosition="0"/>
    </format>
    <format dxfId="2519">
      <pivotArea dataOnly="0" labelOnly="1" fieldPosition="0">
        <references count="1">
          <reference field="2" count="0"/>
        </references>
      </pivotArea>
    </format>
    <format dxfId="2518">
      <pivotArea dataOnly="0" labelOnly="1" grandRow="1" outline="0" fieldPosition="0"/>
    </format>
    <format dxfId="2517">
      <pivotArea dataOnly="0" labelOnly="1" outline="0" fieldPosition="0">
        <references count="1">
          <reference field="4294967294" count="2">
            <x v="0"/>
            <x v="1"/>
          </reference>
        </references>
      </pivotArea>
    </format>
    <format dxfId="2516">
      <pivotArea field="2" type="button" dataOnly="0" labelOnly="1" outline="0" axis="axisRow" fieldPosition="0"/>
    </format>
    <format dxfId="2515">
      <pivotArea dataOnly="0" labelOnly="1" outline="0" fieldPosition="0">
        <references count="1">
          <reference field="4294967294" count="2">
            <x v="0"/>
            <x v="1"/>
          </reference>
        </references>
      </pivotArea>
    </format>
    <format dxfId="2514">
      <pivotArea field="2" type="button" dataOnly="0" labelOnly="1" outline="0" axis="axisRow" fieldPosition="0"/>
    </format>
    <format dxfId="2513">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5DBF447-3203-4F26-BD09-3772BF99B087}" name="PivotTable3" cacheId="179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F6:G170" firstHeaderRow="1" firstDataRow="1" firstDataCol="1"/>
  <pivotFields count="4">
    <pivotField axis="axisRow" allDrilled="1" subtotalTop="0" showAll="0" dataSourceSort="1" defaultSubtotal="0" defaultAttributeDrillState="1">
      <items count="13">
        <item x="0"/>
        <item x="1"/>
        <item x="2"/>
        <item x="3"/>
        <item x="4"/>
        <item x="5"/>
        <item x="6"/>
        <item x="7"/>
        <item x="8"/>
        <item x="9"/>
        <item x="10"/>
        <item x="11"/>
        <item x="12"/>
      </items>
    </pivotField>
    <pivotField dataField="1" subtotalTop="0" showAll="0" defaultSubtotal="0"/>
    <pivotField axis="axisRow" allDrilled="1" subtotalTop="0" showAll="0" dataSourceSort="1" defaultSubtotal="0" defaultAttributeDrillState="1">
      <items count="1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s>
    </pivotField>
    <pivotField allDrilled="1" subtotalTop="0" showAll="0" dataSourceSort="1" defaultSubtotal="0" defaultAttributeDrillState="1"/>
  </pivotFields>
  <rowFields count="2">
    <field x="0"/>
    <field x="2"/>
  </rowFields>
  <rowItems count="164">
    <i>
      <x/>
    </i>
    <i r="1">
      <x/>
    </i>
    <i r="1">
      <x v="1"/>
    </i>
    <i r="1">
      <x v="2"/>
    </i>
    <i r="1">
      <x v="3"/>
    </i>
    <i r="1">
      <x v="4"/>
    </i>
    <i r="1">
      <x v="5"/>
    </i>
    <i r="1">
      <x v="6"/>
    </i>
    <i r="1">
      <x v="7"/>
    </i>
    <i r="1">
      <x v="8"/>
    </i>
    <i r="1">
      <x v="9"/>
    </i>
    <i r="1">
      <x v="10"/>
    </i>
    <i r="1">
      <x v="11"/>
    </i>
    <i>
      <x v="1"/>
    </i>
    <i r="1">
      <x v="12"/>
    </i>
    <i r="1">
      <x v="13"/>
    </i>
    <i r="1">
      <x v="14"/>
    </i>
    <i r="1">
      <x v="15"/>
    </i>
    <i r="1">
      <x v="16"/>
    </i>
    <i r="1">
      <x v="17"/>
    </i>
    <i r="1">
      <x v="18"/>
    </i>
    <i r="1">
      <x v="19"/>
    </i>
    <i r="1">
      <x v="20"/>
    </i>
    <i r="1">
      <x v="21"/>
    </i>
    <i r="1">
      <x v="22"/>
    </i>
    <i r="1">
      <x v="23"/>
    </i>
    <i>
      <x v="2"/>
    </i>
    <i r="1">
      <x v="24"/>
    </i>
    <i r="1">
      <x v="25"/>
    </i>
    <i r="1">
      <x v="26"/>
    </i>
    <i r="1">
      <x v="27"/>
    </i>
    <i r="1">
      <x v="28"/>
    </i>
    <i r="1">
      <x v="29"/>
    </i>
    <i r="1">
      <x v="30"/>
    </i>
    <i>
      <x v="3"/>
    </i>
    <i r="1">
      <x v="31"/>
    </i>
    <i r="1">
      <x v="32"/>
    </i>
    <i r="1">
      <x v="33"/>
    </i>
    <i r="1">
      <x v="34"/>
    </i>
    <i r="1">
      <x v="35"/>
    </i>
    <i r="1">
      <x v="36"/>
    </i>
    <i r="1">
      <x v="37"/>
    </i>
    <i r="1">
      <x v="38"/>
    </i>
    <i r="1">
      <x v="39"/>
    </i>
    <i r="1">
      <x v="40"/>
    </i>
    <i>
      <x v="4"/>
    </i>
    <i r="1">
      <x v="41"/>
    </i>
    <i r="1">
      <x v="42"/>
    </i>
    <i r="1">
      <x v="43"/>
    </i>
    <i r="1">
      <x v="44"/>
    </i>
    <i r="1">
      <x v="45"/>
    </i>
    <i r="1">
      <x v="46"/>
    </i>
    <i r="1">
      <x v="47"/>
    </i>
    <i r="1">
      <x v="48"/>
    </i>
    <i r="1">
      <x v="49"/>
    </i>
    <i r="1">
      <x v="50"/>
    </i>
    <i r="1">
      <x v="51"/>
    </i>
    <i r="1">
      <x v="52"/>
    </i>
    <i r="1">
      <x v="53"/>
    </i>
    <i>
      <x v="5"/>
    </i>
    <i r="1">
      <x v="54"/>
    </i>
    <i r="1">
      <x v="55"/>
    </i>
    <i r="1">
      <x v="56"/>
    </i>
    <i r="1">
      <x v="57"/>
    </i>
    <i r="1">
      <x v="58"/>
    </i>
    <i r="1">
      <x v="59"/>
    </i>
    <i r="1">
      <x v="60"/>
    </i>
    <i r="1">
      <x v="61"/>
    </i>
    <i r="1">
      <x v="62"/>
    </i>
    <i r="1">
      <x v="63"/>
    </i>
    <i r="1">
      <x v="64"/>
    </i>
    <i r="1">
      <x v="65"/>
    </i>
    <i>
      <x v="6"/>
    </i>
    <i r="1">
      <x v="66"/>
    </i>
    <i r="1">
      <x v="67"/>
    </i>
    <i r="1">
      <x v="68"/>
    </i>
    <i r="1">
      <x v="69"/>
    </i>
    <i r="1">
      <x v="70"/>
    </i>
    <i r="1">
      <x v="71"/>
    </i>
    <i r="1">
      <x v="72"/>
    </i>
    <i r="1">
      <x v="73"/>
    </i>
    <i r="1">
      <x v="74"/>
    </i>
    <i r="1">
      <x v="75"/>
    </i>
    <i r="1">
      <x v="76"/>
    </i>
    <i r="1">
      <x v="77"/>
    </i>
    <i>
      <x v="7"/>
    </i>
    <i r="1">
      <x v="78"/>
    </i>
    <i r="1">
      <x v="79"/>
    </i>
    <i r="1">
      <x v="80"/>
    </i>
    <i r="1">
      <x v="81"/>
    </i>
    <i r="1">
      <x v="82"/>
    </i>
    <i r="1">
      <x v="83"/>
    </i>
    <i r="1">
      <x v="84"/>
    </i>
    <i r="1">
      <x v="85"/>
    </i>
    <i r="1">
      <x v="86"/>
    </i>
    <i r="1">
      <x v="87"/>
    </i>
    <i r="1">
      <x v="88"/>
    </i>
    <i r="1">
      <x v="89"/>
    </i>
    <i r="1">
      <x v="90"/>
    </i>
    <i>
      <x v="8"/>
    </i>
    <i r="1">
      <x v="91"/>
    </i>
    <i r="1">
      <x v="92"/>
    </i>
    <i r="1">
      <x v="93"/>
    </i>
    <i r="1">
      <x v="94"/>
    </i>
    <i r="1">
      <x v="95"/>
    </i>
    <i r="1">
      <x v="96"/>
    </i>
    <i r="1">
      <x v="97"/>
    </i>
    <i r="1">
      <x v="98"/>
    </i>
    <i r="1">
      <x v="99"/>
    </i>
    <i r="1">
      <x v="100"/>
    </i>
    <i r="1">
      <x v="101"/>
    </i>
    <i r="1">
      <x v="102"/>
    </i>
    <i r="1">
      <x v="103"/>
    </i>
    <i r="1">
      <x v="104"/>
    </i>
    <i>
      <x v="9"/>
    </i>
    <i r="1">
      <x v="105"/>
    </i>
    <i r="1">
      <x v="106"/>
    </i>
    <i r="1">
      <x v="107"/>
    </i>
    <i r="1">
      <x v="108"/>
    </i>
    <i r="1">
      <x v="109"/>
    </i>
    <i r="1">
      <x v="110"/>
    </i>
    <i r="1">
      <x v="111"/>
    </i>
    <i r="1">
      <x v="112"/>
    </i>
    <i r="1">
      <x v="113"/>
    </i>
    <i r="1">
      <x v="114"/>
    </i>
    <i r="1">
      <x v="115"/>
    </i>
    <i>
      <x v="10"/>
    </i>
    <i r="1">
      <x v="116"/>
    </i>
    <i r="1">
      <x v="117"/>
    </i>
    <i r="1">
      <x v="118"/>
    </i>
    <i r="1">
      <x v="119"/>
    </i>
    <i r="1">
      <x v="120"/>
    </i>
    <i r="1">
      <x v="121"/>
    </i>
    <i r="1">
      <x v="122"/>
    </i>
    <i r="1">
      <x v="123"/>
    </i>
    <i r="1">
      <x v="124"/>
    </i>
    <i r="1">
      <x v="125"/>
    </i>
    <i r="1">
      <x v="126"/>
    </i>
    <i r="1">
      <x v="127"/>
    </i>
    <i r="1">
      <x v="128"/>
    </i>
    <i>
      <x v="11"/>
    </i>
    <i r="1">
      <x v="129"/>
    </i>
    <i r="1">
      <x v="130"/>
    </i>
    <i r="1">
      <x v="131"/>
    </i>
    <i r="1">
      <x v="132"/>
    </i>
    <i r="1">
      <x v="133"/>
    </i>
    <i r="1">
      <x v="134"/>
    </i>
    <i r="1">
      <x v="135"/>
    </i>
    <i r="1">
      <x v="136"/>
    </i>
    <i r="1">
      <x v="137"/>
    </i>
    <i r="1">
      <x v="138"/>
    </i>
    <i r="1">
      <x v="139"/>
    </i>
    <i r="1">
      <x v="140"/>
    </i>
    <i>
      <x v="12"/>
    </i>
    <i r="1">
      <x v="141"/>
    </i>
    <i r="1">
      <x v="142"/>
    </i>
    <i r="1">
      <x v="143"/>
    </i>
    <i r="1">
      <x v="144"/>
    </i>
    <i r="1">
      <x v="145"/>
    </i>
    <i r="1">
      <x v="146"/>
    </i>
    <i r="1">
      <x v="147"/>
    </i>
    <i r="1">
      <x v="148"/>
    </i>
    <i r="1">
      <x v="149"/>
    </i>
    <i t="grand">
      <x/>
    </i>
  </rowItems>
  <colItems count="1">
    <i/>
  </colItems>
  <dataFields count="1">
    <dataField name="Min of Salary" fld="1" subtotal="min" baseField="0" baseItem="0"/>
  </dataFields>
  <formats count="44">
    <format dxfId="2571">
      <pivotArea type="all" dataOnly="0" outline="0" fieldPosition="0"/>
    </format>
    <format dxfId="2570">
      <pivotArea outline="0" collapsedLevelsAreSubtotals="1" fieldPosition="0"/>
    </format>
    <format dxfId="2569">
      <pivotArea field="0" type="button" dataOnly="0" labelOnly="1" outline="0" axis="axisRow" fieldPosition="0"/>
    </format>
    <format dxfId="2568">
      <pivotArea dataOnly="0" labelOnly="1" fieldPosition="0">
        <references count="1">
          <reference field="0" count="0"/>
        </references>
      </pivotArea>
    </format>
    <format dxfId="2567">
      <pivotArea dataOnly="0" labelOnly="1" grandRow="1" outline="0" fieldPosition="0"/>
    </format>
    <format dxfId="2566">
      <pivotArea dataOnly="0" labelOnly="1" fieldPosition="0">
        <references count="2">
          <reference field="0" count="1" selected="0">
            <x v="0"/>
          </reference>
          <reference field="2" count="12">
            <x v="0"/>
            <x v="1"/>
            <x v="2"/>
            <x v="3"/>
            <x v="4"/>
            <x v="5"/>
            <x v="6"/>
            <x v="7"/>
            <x v="8"/>
            <x v="9"/>
            <x v="10"/>
            <x v="11"/>
          </reference>
        </references>
      </pivotArea>
    </format>
    <format dxfId="2565">
      <pivotArea dataOnly="0" labelOnly="1" fieldPosition="0">
        <references count="2">
          <reference field="0" count="1" selected="0">
            <x v="1"/>
          </reference>
          <reference field="2" count="12">
            <x v="12"/>
            <x v="13"/>
            <x v="14"/>
            <x v="15"/>
            <x v="16"/>
            <x v="17"/>
            <x v="18"/>
            <x v="19"/>
            <x v="20"/>
            <x v="21"/>
            <x v="22"/>
            <x v="23"/>
          </reference>
        </references>
      </pivotArea>
    </format>
    <format dxfId="2564">
      <pivotArea dataOnly="0" labelOnly="1" fieldPosition="0">
        <references count="2">
          <reference field="0" count="1" selected="0">
            <x v="2"/>
          </reference>
          <reference field="2" count="7">
            <x v="24"/>
            <x v="25"/>
            <x v="26"/>
            <x v="27"/>
            <x v="28"/>
            <x v="29"/>
            <x v="30"/>
          </reference>
        </references>
      </pivotArea>
    </format>
    <format dxfId="2563">
      <pivotArea dataOnly="0" labelOnly="1" fieldPosition="0">
        <references count="2">
          <reference field="0" count="1" selected="0">
            <x v="3"/>
          </reference>
          <reference field="2" count="10">
            <x v="31"/>
            <x v="32"/>
            <x v="33"/>
            <x v="34"/>
            <x v="35"/>
            <x v="36"/>
            <x v="37"/>
            <x v="38"/>
            <x v="39"/>
            <x v="40"/>
          </reference>
        </references>
      </pivotArea>
    </format>
    <format dxfId="2562">
      <pivotArea dataOnly="0" labelOnly="1" fieldPosition="0">
        <references count="2">
          <reference field="0" count="1" selected="0">
            <x v="4"/>
          </reference>
          <reference field="2" count="13">
            <x v="41"/>
            <x v="42"/>
            <x v="43"/>
            <x v="44"/>
            <x v="45"/>
            <x v="46"/>
            <x v="47"/>
            <x v="48"/>
            <x v="49"/>
            <x v="50"/>
            <x v="51"/>
            <x v="52"/>
            <x v="53"/>
          </reference>
        </references>
      </pivotArea>
    </format>
    <format dxfId="2561">
      <pivotArea dataOnly="0" labelOnly="1" fieldPosition="0">
        <references count="2">
          <reference field="0" count="1" selected="0">
            <x v="5"/>
          </reference>
          <reference field="2" count="12">
            <x v="54"/>
            <x v="55"/>
            <x v="56"/>
            <x v="57"/>
            <x v="58"/>
            <x v="59"/>
            <x v="60"/>
            <x v="61"/>
            <x v="62"/>
            <x v="63"/>
            <x v="64"/>
            <x v="65"/>
          </reference>
        </references>
      </pivotArea>
    </format>
    <format dxfId="2560">
      <pivotArea dataOnly="0" labelOnly="1" fieldPosition="0">
        <references count="2">
          <reference field="0" count="1" selected="0">
            <x v="6"/>
          </reference>
          <reference field="2" count="12">
            <x v="66"/>
            <x v="67"/>
            <x v="68"/>
            <x v="69"/>
            <x v="70"/>
            <x v="71"/>
            <x v="72"/>
            <x v="73"/>
            <x v="74"/>
            <x v="75"/>
            <x v="76"/>
            <x v="77"/>
          </reference>
        </references>
      </pivotArea>
    </format>
    <format dxfId="2559">
      <pivotArea dataOnly="0" labelOnly="1" fieldPosition="0">
        <references count="2">
          <reference field="0" count="1" selected="0">
            <x v="7"/>
          </reference>
          <reference field="2" count="13">
            <x v="78"/>
            <x v="79"/>
            <x v="80"/>
            <x v="81"/>
            <x v="82"/>
            <x v="83"/>
            <x v="84"/>
            <x v="85"/>
            <x v="86"/>
            <x v="87"/>
            <x v="88"/>
            <x v="89"/>
            <x v="90"/>
          </reference>
        </references>
      </pivotArea>
    </format>
    <format dxfId="2558">
      <pivotArea dataOnly="0" labelOnly="1" fieldPosition="0">
        <references count="2">
          <reference field="0" count="1" selected="0">
            <x v="8"/>
          </reference>
          <reference field="2" count="14">
            <x v="91"/>
            <x v="92"/>
            <x v="93"/>
            <x v="94"/>
            <x v="95"/>
            <x v="96"/>
            <x v="97"/>
            <x v="98"/>
            <x v="99"/>
            <x v="100"/>
            <x v="101"/>
            <x v="102"/>
            <x v="103"/>
            <x v="104"/>
          </reference>
        </references>
      </pivotArea>
    </format>
    <format dxfId="2557">
      <pivotArea dataOnly="0" labelOnly="1" fieldPosition="0">
        <references count="2">
          <reference field="0" count="1" selected="0">
            <x v="9"/>
          </reference>
          <reference field="2" count="11">
            <x v="105"/>
            <x v="106"/>
            <x v="107"/>
            <x v="108"/>
            <x v="109"/>
            <x v="110"/>
            <x v="111"/>
            <x v="112"/>
            <x v="113"/>
            <x v="114"/>
            <x v="115"/>
          </reference>
        </references>
      </pivotArea>
    </format>
    <format dxfId="2556">
      <pivotArea dataOnly="0" labelOnly="1" fieldPosition="0">
        <references count="2">
          <reference field="0" count="1" selected="0">
            <x v="10"/>
          </reference>
          <reference field="2" count="13">
            <x v="116"/>
            <x v="117"/>
            <x v="118"/>
            <x v="119"/>
            <x v="120"/>
            <x v="121"/>
            <x v="122"/>
            <x v="123"/>
            <x v="124"/>
            <x v="125"/>
            <x v="126"/>
            <x v="127"/>
            <x v="128"/>
          </reference>
        </references>
      </pivotArea>
    </format>
    <format dxfId="2555">
      <pivotArea dataOnly="0" labelOnly="1" fieldPosition="0">
        <references count="2">
          <reference field="0" count="1" selected="0">
            <x v="11"/>
          </reference>
          <reference field="2" count="12">
            <x v="129"/>
            <x v="130"/>
            <x v="131"/>
            <x v="132"/>
            <x v="133"/>
            <x v="134"/>
            <x v="135"/>
            <x v="136"/>
            <x v="137"/>
            <x v="138"/>
            <x v="139"/>
            <x v="140"/>
          </reference>
        </references>
      </pivotArea>
    </format>
    <format dxfId="2554">
      <pivotArea dataOnly="0" labelOnly="1" fieldPosition="0">
        <references count="2">
          <reference field="0" count="1" selected="0">
            <x v="12"/>
          </reference>
          <reference field="2" count="9">
            <x v="141"/>
            <x v="142"/>
            <x v="143"/>
            <x v="144"/>
            <x v="145"/>
            <x v="146"/>
            <x v="147"/>
            <x v="148"/>
            <x v="149"/>
          </reference>
        </references>
      </pivotArea>
    </format>
    <format dxfId="2553">
      <pivotArea dataOnly="0" labelOnly="1" outline="0" axis="axisValues" fieldPosition="0"/>
    </format>
    <format dxfId="2552">
      <pivotArea type="all" dataOnly="0" outline="0" fieldPosition="0"/>
    </format>
    <format dxfId="2551">
      <pivotArea outline="0" collapsedLevelsAreSubtotals="1" fieldPosition="0"/>
    </format>
    <format dxfId="2550">
      <pivotArea field="0" type="button" dataOnly="0" labelOnly="1" outline="0" axis="axisRow" fieldPosition="0"/>
    </format>
    <format dxfId="2549">
      <pivotArea dataOnly="0" labelOnly="1" fieldPosition="0">
        <references count="1">
          <reference field="0" count="0"/>
        </references>
      </pivotArea>
    </format>
    <format dxfId="2548">
      <pivotArea dataOnly="0" labelOnly="1" grandRow="1" outline="0" fieldPosition="0"/>
    </format>
    <format dxfId="2547">
      <pivotArea dataOnly="0" labelOnly="1" fieldPosition="0">
        <references count="2">
          <reference field="0" count="1" selected="0">
            <x v="0"/>
          </reference>
          <reference field="2" count="12">
            <x v="0"/>
            <x v="1"/>
            <x v="2"/>
            <x v="3"/>
            <x v="4"/>
            <x v="5"/>
            <x v="6"/>
            <x v="7"/>
            <x v="8"/>
            <x v="9"/>
            <x v="10"/>
            <x v="11"/>
          </reference>
        </references>
      </pivotArea>
    </format>
    <format dxfId="2546">
      <pivotArea dataOnly="0" labelOnly="1" fieldPosition="0">
        <references count="2">
          <reference field="0" count="1" selected="0">
            <x v="1"/>
          </reference>
          <reference field="2" count="12">
            <x v="12"/>
            <x v="13"/>
            <x v="14"/>
            <x v="15"/>
            <x v="16"/>
            <x v="17"/>
            <x v="18"/>
            <x v="19"/>
            <x v="20"/>
            <x v="21"/>
            <x v="22"/>
            <x v="23"/>
          </reference>
        </references>
      </pivotArea>
    </format>
    <format dxfId="2545">
      <pivotArea dataOnly="0" labelOnly="1" fieldPosition="0">
        <references count="2">
          <reference field="0" count="1" selected="0">
            <x v="2"/>
          </reference>
          <reference field="2" count="7">
            <x v="24"/>
            <x v="25"/>
            <x v="26"/>
            <x v="27"/>
            <x v="28"/>
            <x v="29"/>
            <x v="30"/>
          </reference>
        </references>
      </pivotArea>
    </format>
    <format dxfId="2544">
      <pivotArea dataOnly="0" labelOnly="1" fieldPosition="0">
        <references count="2">
          <reference field="0" count="1" selected="0">
            <x v="3"/>
          </reference>
          <reference field="2" count="10">
            <x v="31"/>
            <x v="32"/>
            <x v="33"/>
            <x v="34"/>
            <x v="35"/>
            <x v="36"/>
            <x v="37"/>
            <x v="38"/>
            <x v="39"/>
            <x v="40"/>
          </reference>
        </references>
      </pivotArea>
    </format>
    <format dxfId="2543">
      <pivotArea dataOnly="0" labelOnly="1" fieldPosition="0">
        <references count="2">
          <reference field="0" count="1" selected="0">
            <x v="4"/>
          </reference>
          <reference field="2" count="13">
            <x v="41"/>
            <x v="42"/>
            <x v="43"/>
            <x v="44"/>
            <x v="45"/>
            <x v="46"/>
            <x v="47"/>
            <x v="48"/>
            <x v="49"/>
            <x v="50"/>
            <x v="51"/>
            <x v="52"/>
            <x v="53"/>
          </reference>
        </references>
      </pivotArea>
    </format>
    <format dxfId="2542">
      <pivotArea dataOnly="0" labelOnly="1" fieldPosition="0">
        <references count="2">
          <reference field="0" count="1" selected="0">
            <x v="5"/>
          </reference>
          <reference field="2" count="12">
            <x v="54"/>
            <x v="55"/>
            <x v="56"/>
            <x v="57"/>
            <x v="58"/>
            <x v="59"/>
            <x v="60"/>
            <x v="61"/>
            <x v="62"/>
            <x v="63"/>
            <x v="64"/>
            <x v="65"/>
          </reference>
        </references>
      </pivotArea>
    </format>
    <format dxfId="2541">
      <pivotArea dataOnly="0" labelOnly="1" fieldPosition="0">
        <references count="2">
          <reference field="0" count="1" selected="0">
            <x v="6"/>
          </reference>
          <reference field="2" count="12">
            <x v="66"/>
            <x v="67"/>
            <x v="68"/>
            <x v="69"/>
            <x v="70"/>
            <x v="71"/>
            <x v="72"/>
            <x v="73"/>
            <x v="74"/>
            <x v="75"/>
            <x v="76"/>
            <x v="77"/>
          </reference>
        </references>
      </pivotArea>
    </format>
    <format dxfId="2540">
      <pivotArea dataOnly="0" labelOnly="1" fieldPosition="0">
        <references count="2">
          <reference field="0" count="1" selected="0">
            <x v="7"/>
          </reference>
          <reference field="2" count="13">
            <x v="78"/>
            <x v="79"/>
            <x v="80"/>
            <x v="81"/>
            <x v="82"/>
            <x v="83"/>
            <x v="84"/>
            <x v="85"/>
            <x v="86"/>
            <x v="87"/>
            <x v="88"/>
            <x v="89"/>
            <x v="90"/>
          </reference>
        </references>
      </pivotArea>
    </format>
    <format dxfId="2539">
      <pivotArea dataOnly="0" labelOnly="1" fieldPosition="0">
        <references count="2">
          <reference field="0" count="1" selected="0">
            <x v="8"/>
          </reference>
          <reference field="2" count="14">
            <x v="91"/>
            <x v="92"/>
            <x v="93"/>
            <x v="94"/>
            <x v="95"/>
            <x v="96"/>
            <x v="97"/>
            <x v="98"/>
            <x v="99"/>
            <x v="100"/>
            <x v="101"/>
            <x v="102"/>
            <x v="103"/>
            <x v="104"/>
          </reference>
        </references>
      </pivotArea>
    </format>
    <format dxfId="2538">
      <pivotArea dataOnly="0" labelOnly="1" fieldPosition="0">
        <references count="2">
          <reference field="0" count="1" selected="0">
            <x v="9"/>
          </reference>
          <reference field="2" count="11">
            <x v="105"/>
            <x v="106"/>
            <x v="107"/>
            <x v="108"/>
            <x v="109"/>
            <x v="110"/>
            <x v="111"/>
            <x v="112"/>
            <x v="113"/>
            <x v="114"/>
            <x v="115"/>
          </reference>
        </references>
      </pivotArea>
    </format>
    <format dxfId="2537">
      <pivotArea dataOnly="0" labelOnly="1" fieldPosition="0">
        <references count="2">
          <reference field="0" count="1" selected="0">
            <x v="10"/>
          </reference>
          <reference field="2" count="13">
            <x v="116"/>
            <x v="117"/>
            <x v="118"/>
            <x v="119"/>
            <x v="120"/>
            <x v="121"/>
            <x v="122"/>
            <x v="123"/>
            <x v="124"/>
            <x v="125"/>
            <x v="126"/>
            <x v="127"/>
            <x v="128"/>
          </reference>
        </references>
      </pivotArea>
    </format>
    <format dxfId="2536">
      <pivotArea dataOnly="0" labelOnly="1" fieldPosition="0">
        <references count="2">
          <reference field="0" count="1" selected="0">
            <x v="11"/>
          </reference>
          <reference field="2" count="12">
            <x v="129"/>
            <x v="130"/>
            <x v="131"/>
            <x v="132"/>
            <x v="133"/>
            <x v="134"/>
            <x v="135"/>
            <x v="136"/>
            <x v="137"/>
            <x v="138"/>
            <x v="139"/>
            <x v="140"/>
          </reference>
        </references>
      </pivotArea>
    </format>
    <format dxfId="2535">
      <pivotArea dataOnly="0" labelOnly="1" fieldPosition="0">
        <references count="2">
          <reference field="0" count="1" selected="0">
            <x v="12"/>
          </reference>
          <reference field="2" count="9">
            <x v="141"/>
            <x v="142"/>
            <x v="143"/>
            <x v="144"/>
            <x v="145"/>
            <x v="146"/>
            <x v="147"/>
            <x v="148"/>
            <x v="149"/>
          </reference>
        </references>
      </pivotArea>
    </format>
    <format dxfId="2534">
      <pivotArea dataOnly="0" labelOnly="1" outline="0" axis="axisValues" fieldPosition="0"/>
    </format>
    <format dxfId="2533">
      <pivotArea field="0" type="button" dataOnly="0" labelOnly="1" outline="0" axis="axisRow" fieldPosition="0"/>
    </format>
    <format dxfId="2532">
      <pivotArea dataOnly="0" labelOnly="1" outline="0" axis="axisValues" fieldPosition="0"/>
    </format>
    <format dxfId="2531">
      <pivotArea field="0" type="button" dataOnly="0" labelOnly="1" outline="0" axis="axisRow" fieldPosition="0"/>
    </format>
    <format dxfId="2530">
      <pivotArea dataOnly="0" labelOnly="1" outline="0" axis="axisValues" fieldPosition="0"/>
    </format>
    <format dxfId="2529">
      <pivotArea field="0" type="button" dataOnly="0" labelOnly="1" outline="0" axis="axisRow" fieldPosition="0"/>
    </format>
    <format dxfId="2528">
      <pivotArea dataOnly="0" labelOnly="1" outline="0" axis="axisValues" fieldPosition="0"/>
    </format>
  </formats>
  <pivotHierarchies count="52">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caption="Min of Salary"/>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30"/>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DAY-1 Formatting.xlsx!Table117[[Employee ID]:[Gender]]">
        <x15:activeTabTopLevelEntity name="[Table117  Employee ID   G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7AD528B-4223-4D9B-A321-759267D6F67D}" name="PivotTable2" cacheId="174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B16:D25" firstHeaderRow="0" firstDataRow="1" firstDataCol="1"/>
  <pivotFields count="4">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9">
    <i>
      <x/>
    </i>
    <i>
      <x v="1"/>
    </i>
    <i>
      <x v="2"/>
    </i>
    <i>
      <x v="3"/>
    </i>
    <i>
      <x v="4"/>
    </i>
    <i>
      <x v="5"/>
    </i>
    <i>
      <x v="6"/>
    </i>
    <i>
      <x v="7"/>
    </i>
    <i t="grand">
      <x/>
    </i>
  </rowItems>
  <colFields count="1">
    <field x="-2"/>
  </colFields>
  <colItems count="2">
    <i>
      <x/>
    </i>
    <i i="1">
      <x v="1"/>
    </i>
  </colItems>
  <dataFields count="2">
    <dataField name="Max of Performance Rating" fld="1" subtotal="max" baseField="0" baseItem="0"/>
    <dataField name="Average of Salary" fld="2" subtotal="average" baseField="0" baseItem="1"/>
  </dataFields>
  <formats count="22">
    <format dxfId="2593">
      <pivotArea type="all" dataOnly="0" outline="0" fieldPosition="0"/>
    </format>
    <format dxfId="2592">
      <pivotArea outline="0" collapsedLevelsAreSubtotals="1" fieldPosition="0"/>
    </format>
    <format dxfId="2591">
      <pivotArea field="0" type="button" dataOnly="0" labelOnly="1" outline="0" axis="axisRow" fieldPosition="0"/>
    </format>
    <format dxfId="2590">
      <pivotArea dataOnly="0" labelOnly="1" fieldPosition="0">
        <references count="1">
          <reference field="0" count="0"/>
        </references>
      </pivotArea>
    </format>
    <format dxfId="2589">
      <pivotArea dataOnly="0" labelOnly="1" grandRow="1" outline="0" fieldPosition="0"/>
    </format>
    <format dxfId="2588">
      <pivotArea dataOnly="0" labelOnly="1" outline="0" fieldPosition="0">
        <references count="1">
          <reference field="4294967294" count="2">
            <x v="0"/>
            <x v="1"/>
          </reference>
        </references>
      </pivotArea>
    </format>
    <format dxfId="2587">
      <pivotArea type="all" dataOnly="0" outline="0" fieldPosition="0"/>
    </format>
    <format dxfId="2586">
      <pivotArea outline="0" collapsedLevelsAreSubtotals="1" fieldPosition="0"/>
    </format>
    <format dxfId="2585">
      <pivotArea field="0" type="button" dataOnly="0" labelOnly="1" outline="0" axis="axisRow" fieldPosition="0"/>
    </format>
    <format dxfId="2584">
      <pivotArea dataOnly="0" labelOnly="1" fieldPosition="0">
        <references count="1">
          <reference field="0" count="0"/>
        </references>
      </pivotArea>
    </format>
    <format dxfId="2583">
      <pivotArea dataOnly="0" labelOnly="1" grandRow="1" outline="0" fieldPosition="0"/>
    </format>
    <format dxfId="2582">
      <pivotArea dataOnly="0" labelOnly="1" outline="0" fieldPosition="0">
        <references count="1">
          <reference field="4294967294" count="2">
            <x v="0"/>
            <x v="1"/>
          </reference>
        </references>
      </pivotArea>
    </format>
    <format dxfId="2581">
      <pivotArea outline="0" collapsedLevelsAreSubtotals="1" fieldPosition="0">
        <references count="1">
          <reference field="4294967294" count="1" selected="0">
            <x v="0"/>
          </reference>
        </references>
      </pivotArea>
    </format>
    <format dxfId="2580">
      <pivotArea dataOnly="0" labelOnly="1" outline="0" fieldPosition="0">
        <references count="1">
          <reference field="4294967294" count="1">
            <x v="0"/>
          </reference>
        </references>
      </pivotArea>
    </format>
    <format dxfId="2579">
      <pivotArea outline="0" collapsedLevelsAreSubtotals="1" fieldPosition="0">
        <references count="1">
          <reference field="4294967294" count="1" selected="0">
            <x v="1"/>
          </reference>
        </references>
      </pivotArea>
    </format>
    <format dxfId="2578">
      <pivotArea dataOnly="0" labelOnly="1" outline="0" fieldPosition="0">
        <references count="1">
          <reference field="4294967294" count="1">
            <x v="1"/>
          </reference>
        </references>
      </pivotArea>
    </format>
    <format dxfId="2577">
      <pivotArea collapsedLevelsAreSubtotals="1" fieldPosition="0">
        <references count="2">
          <reference field="4294967294" count="1" selected="0">
            <x v="1"/>
          </reference>
          <reference field="0" count="0"/>
        </references>
      </pivotArea>
    </format>
    <format dxfId="2576">
      <pivotArea field="0" grandRow="1" outline="0" collapsedLevelsAreSubtotals="1" axis="axisRow" fieldPosition="0">
        <references count="1">
          <reference field="4294967294" count="1" selected="0">
            <x v="1"/>
          </reference>
        </references>
      </pivotArea>
    </format>
    <format dxfId="2575">
      <pivotArea field="0" type="button" dataOnly="0" labelOnly="1" outline="0" axis="axisRow" fieldPosition="0"/>
    </format>
    <format dxfId="2574">
      <pivotArea dataOnly="0" labelOnly="1" outline="0" fieldPosition="0">
        <references count="1">
          <reference field="4294967294" count="2">
            <x v="0"/>
            <x v="1"/>
          </reference>
        </references>
      </pivotArea>
    </format>
    <format dxfId="2573">
      <pivotArea field="0" type="button" dataOnly="0" labelOnly="1" outline="0" axis="axisRow" fieldPosition="0"/>
    </format>
    <format dxfId="2572">
      <pivotArea dataOnly="0" labelOnly="1" outline="0" fieldPosition="0">
        <references count="1">
          <reference field="4294967294" count="2">
            <x v="0"/>
            <x v="1"/>
          </reference>
        </references>
      </pivotArea>
    </format>
  </formats>
  <pivotHierarchies count="52">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Max of Performance Rating"/>
    <pivotHierarchy dragToData="1"/>
    <pivotHierarchy dragToData="1" caption="Average of Salar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INDEX +MATCH!$A$2:$H$152">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A1E0722-A758-4291-9085-22F641BDF4A6}" name="PivotTable4" cacheId="175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C10" firstHeaderRow="0" firstDataRow="1" firstDataCol="1"/>
  <pivotFields count="4">
    <pivotField axis="axisRow" allDrilled="1" subtotalTop="0" showAll="0" dataSourceSort="1" defaultSubtotal="0" defaultAttributeDrillState="1">
      <items count="6">
        <item x="0"/>
        <item x="1"/>
        <item x="2"/>
        <item x="3"/>
        <item x="4"/>
        <item x="5"/>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Fields count="1">
    <field x="-2"/>
  </colFields>
  <colItems count="2">
    <i>
      <x/>
    </i>
    <i i="1">
      <x v="1"/>
    </i>
  </colItems>
  <dataFields count="2">
    <dataField name="Sum of Salary" fld="1" baseField="0" baseItem="0"/>
    <dataField name="Count of Name" fld="2" subtotal="count" baseField="0" baseItem="0"/>
  </dataFields>
  <formats count="3">
    <format dxfId="2512">
      <pivotArea collapsedLevelsAreSubtotals="1" fieldPosition="0">
        <references count="2">
          <reference field="4294967294" count="1" selected="0">
            <x v="0"/>
          </reference>
          <reference field="0" count="0"/>
        </references>
      </pivotArea>
    </format>
    <format dxfId="2511">
      <pivotArea outline="0" collapsedLevelsAreSubtotals="1" fieldPosition="0">
        <references count="1">
          <reference field="4294967294" count="1" selected="0">
            <x v="1"/>
          </reference>
        </references>
      </pivotArea>
    </format>
    <format dxfId="2510">
      <pivotArea dataOnly="0" labelOnly="1" outline="0" fieldPosition="0">
        <references count="1">
          <reference field="4294967294" count="1">
            <x v="1"/>
          </reference>
        </references>
      </pivotArea>
    </format>
  </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VLOOOKUP Duplicates!$A$2:$H$153">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E7FC303-64B9-4969-807A-F0511F7F9437}" name="PivotTable3" cacheId="178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B38:C45" firstHeaderRow="1" firstDataRow="1" firstDataCol="1"/>
  <pivotFields count="3">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name="Count of Employee ID" fld="1" subtotal="count" baseField="0" baseItem="0"/>
  </dataFields>
  <chartFormats count="2">
    <chartFormat chart="2"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52">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INDEX +MATCH!$A$2:$H$152">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1570AEF-9084-4E3F-A92C-A6310A22FA45}" name="PivotTable2" cacheId="178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B21:C26"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Count of Employee ID" fld="1" subtotal="count" baseField="0" baseItem="0"/>
  </dataFields>
  <chartFormats count="10">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0" count="1" selected="0">
            <x v="0"/>
          </reference>
        </references>
      </pivotArea>
    </chartFormat>
    <chartFormat chart="6" format="2">
      <pivotArea type="data" outline="0" fieldPosition="0">
        <references count="2">
          <reference field="4294967294" count="1" selected="0">
            <x v="0"/>
          </reference>
          <reference field="0" count="1" selected="0">
            <x v="1"/>
          </reference>
        </references>
      </pivotArea>
    </chartFormat>
    <chartFormat chart="6" format="3">
      <pivotArea type="data" outline="0" fieldPosition="0">
        <references count="2">
          <reference field="4294967294" count="1" selected="0">
            <x v="0"/>
          </reference>
          <reference field="0" count="1" selected="0">
            <x v="2"/>
          </reference>
        </references>
      </pivotArea>
    </chartFormat>
    <chartFormat chart="6" format="4">
      <pivotArea type="data" outline="0" fieldPosition="0">
        <references count="2">
          <reference field="4294967294" count="1" selected="0">
            <x v="0"/>
          </reference>
          <reference field="0" count="1" selected="0">
            <x v="3"/>
          </reference>
        </references>
      </pivotArea>
    </chartFormat>
    <chartFormat chart="10" format="10" series="1">
      <pivotArea type="data" outline="0" fieldPosition="0">
        <references count="1">
          <reference field="4294967294" count="1" selected="0">
            <x v="0"/>
          </reference>
        </references>
      </pivotArea>
    </chartFormat>
    <chartFormat chart="10" format="11">
      <pivotArea type="data" outline="0" fieldPosition="0">
        <references count="2">
          <reference field="4294967294" count="1" selected="0">
            <x v="0"/>
          </reference>
          <reference field="0" count="1" selected="0">
            <x v="0"/>
          </reference>
        </references>
      </pivotArea>
    </chartFormat>
    <chartFormat chart="10" format="12">
      <pivotArea type="data" outline="0" fieldPosition="0">
        <references count="2">
          <reference field="4294967294" count="1" selected="0">
            <x v="0"/>
          </reference>
          <reference field="0" count="1" selected="0">
            <x v="1"/>
          </reference>
        </references>
      </pivotArea>
    </chartFormat>
    <chartFormat chart="10" format="13">
      <pivotArea type="data" outline="0" fieldPosition="0">
        <references count="2">
          <reference field="4294967294" count="1" selected="0">
            <x v="0"/>
          </reference>
          <reference field="0" count="1" selected="0">
            <x v="2"/>
          </reference>
        </references>
      </pivotArea>
    </chartFormat>
    <chartFormat chart="10" format="14">
      <pivotArea type="data" outline="0" fieldPosition="0">
        <references count="2">
          <reference field="4294967294" count="1" selected="0">
            <x v="0"/>
          </reference>
          <reference field="0" count="1" selected="0">
            <x v="3"/>
          </reference>
        </references>
      </pivotArea>
    </chartFormat>
  </chartFormats>
  <pivotHierarchies count="52">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7C12186-B349-41F7-85BD-49D77CDF7D1B}" name="PivotTable1" cacheId="177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B4:C11" firstHeaderRow="1" firstDataRow="1" firstDataCol="1"/>
  <pivotFields count="3">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name="Sum of Salary" fld="1" baseField="0" baseItem="0"/>
  </dataFields>
  <chartFormats count="3">
    <chartFormat chart="12" format="0"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Hierarchies count="52">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INDEX +MATCH!$A$2:$H$152">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4FF2637-374B-4F8C-B8D7-FB81A23DCC52}" name="PivotTable11" cacheId="177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L14:M21" firstHeaderRow="1" firstDataRow="1" firstDataCol="1"/>
  <pivotFields count="4">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name="Sum of Salary" fld="1" baseField="0" baseItem="0" numFmtId="2"/>
  </dataFields>
  <formats count="1">
    <format dxfId="2496">
      <pivotArea outline="0" collapsedLevelsAreSubtotals="1" fieldPosition="0"/>
    </format>
  </formats>
  <pivotHierarchies count="52">
    <pivotHierarchy multipleItemSelectionAllowed="1" dragToData="1"/>
    <pivotHierarchy multipleItemSelectionAllowed="1" dragToData="1">
      <members count="1" level="1">
        <member name="[Range].[Name].&amp;[Bob Johnson]"/>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INDEX +MATCH!$A$2:$H$152">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8E5146C-D7E7-41F7-B359-2132F66F7436}" name="PivotTable10" cacheId="177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L4:N11" firstHeaderRow="0" firstDataRow="1" firstDataCol="1"/>
  <pivotFields count="4">
    <pivotField dataField="1" subtotalTop="0" showAll="0" defaultSubtotal="0"/>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1"/>
  </rowFields>
  <rowItems count="7">
    <i>
      <x/>
    </i>
    <i>
      <x v="1"/>
    </i>
    <i>
      <x v="2"/>
    </i>
    <i>
      <x v="3"/>
    </i>
    <i>
      <x v="4"/>
    </i>
    <i>
      <x v="5"/>
    </i>
    <i t="grand">
      <x/>
    </i>
  </rowItems>
  <colFields count="1">
    <field x="-2"/>
  </colFields>
  <colItems count="2">
    <i>
      <x/>
    </i>
    <i i="1">
      <x v="1"/>
    </i>
  </colItems>
  <dataFields count="2">
    <dataField name="Average of Salary" fld="0" subtotal="average" baseField="0" baseItem="0" numFmtId="2"/>
    <dataField name="Count of Employee ID" fld="2" subtotal="count" baseField="0" baseItem="0"/>
  </dataFields>
  <formats count="3">
    <format dxfId="2497">
      <pivotArea outline="0" collapsedLevelsAreSubtotals="1" fieldPosition="0">
        <references count="1">
          <reference field="4294967294" count="1" selected="0">
            <x v="0"/>
          </reference>
        </references>
      </pivotArea>
    </format>
    <format dxfId="2498">
      <pivotArea outline="0" collapsedLevelsAreSubtotals="1" fieldPosition="0">
        <references count="1">
          <reference field="4294967294" count="1" selected="0">
            <x v="1"/>
          </reference>
        </references>
      </pivotArea>
    </format>
    <format dxfId="2499">
      <pivotArea dataOnly="0" labelOnly="1" outline="0" fieldPosition="0">
        <references count="1">
          <reference field="4294967294" count="1">
            <x v="1"/>
          </reference>
        </references>
      </pivotArea>
    </format>
  </formats>
  <chartFormats count="2">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s>
  <pivotHierarchies count="52">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Salar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INDEX +MATCH!$A$2:$H$152">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1E2CAD92-4839-458C-869C-143FB1ACA5CF}" name="PivotTable14" cacheId="17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T40:U47" firstHeaderRow="1" firstDataRow="1" firstDataCol="1"/>
  <pivotFields count="3">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name="Count of Employee ID" fld="1" subtotal="count" baseField="0" baseItem="0"/>
  </dataFields>
  <chartFormats count="2">
    <chartFormat chart="2"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52">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INDEX +MATCH!$A$2:$H$152">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C08AD1A1-AA90-4C62-9077-EC6FCCF9166B}" name="PivotTable13" cacheId="179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U30:V37" firstHeaderRow="1" firstDataRow="1" firstDataCol="1"/>
  <pivotFields count="3">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name="Sum of Salary" fld="1" baseField="0" baseItem="0"/>
  </dataFields>
  <chartFormats count="3">
    <chartFormat chart="12" format="0"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Hierarchies count="52">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INDEX +MATCH!$A$2:$H$152">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AE585252-E0C4-499A-94F4-1E9971781554}" name="PivotTable12" cacheId="179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U23:V28"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Count of Employee ID" fld="1" subtotal="count" baseField="0" baseItem="0"/>
  </dataFields>
  <chartFormats count="10">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0" count="1" selected="0">
            <x v="0"/>
          </reference>
        </references>
      </pivotArea>
    </chartFormat>
    <chartFormat chart="6" format="2">
      <pivotArea type="data" outline="0" fieldPosition="0">
        <references count="2">
          <reference field="4294967294" count="1" selected="0">
            <x v="0"/>
          </reference>
          <reference field="0" count="1" selected="0">
            <x v="1"/>
          </reference>
        </references>
      </pivotArea>
    </chartFormat>
    <chartFormat chart="6" format="3">
      <pivotArea type="data" outline="0" fieldPosition="0">
        <references count="2">
          <reference field="4294967294" count="1" selected="0">
            <x v="0"/>
          </reference>
          <reference field="0" count="1" selected="0">
            <x v="2"/>
          </reference>
        </references>
      </pivotArea>
    </chartFormat>
    <chartFormat chart="6" format="4">
      <pivotArea type="data" outline="0" fieldPosition="0">
        <references count="2">
          <reference field="4294967294" count="1" selected="0">
            <x v="0"/>
          </reference>
          <reference field="0" count="1" selected="0">
            <x v="3"/>
          </reference>
        </references>
      </pivotArea>
    </chartFormat>
    <chartFormat chart="10" format="10" series="1">
      <pivotArea type="data" outline="0" fieldPosition="0">
        <references count="1">
          <reference field="4294967294" count="1" selected="0">
            <x v="0"/>
          </reference>
        </references>
      </pivotArea>
    </chartFormat>
    <chartFormat chart="10" format="11">
      <pivotArea type="data" outline="0" fieldPosition="0">
        <references count="2">
          <reference field="4294967294" count="1" selected="0">
            <x v="0"/>
          </reference>
          <reference field="0" count="1" selected="0">
            <x v="0"/>
          </reference>
        </references>
      </pivotArea>
    </chartFormat>
    <chartFormat chart="10" format="12">
      <pivotArea type="data" outline="0" fieldPosition="0">
        <references count="2">
          <reference field="4294967294" count="1" selected="0">
            <x v="0"/>
          </reference>
          <reference field="0" count="1" selected="0">
            <x v="1"/>
          </reference>
        </references>
      </pivotArea>
    </chartFormat>
    <chartFormat chart="10" format="13">
      <pivotArea type="data" outline="0" fieldPosition="0">
        <references count="2">
          <reference field="4294967294" count="1" selected="0">
            <x v="0"/>
          </reference>
          <reference field="0" count="1" selected="0">
            <x v="2"/>
          </reference>
        </references>
      </pivotArea>
    </chartFormat>
    <chartFormat chart="10" format="14">
      <pivotArea type="data" outline="0" fieldPosition="0">
        <references count="2">
          <reference field="4294967294" count="1" selected="0">
            <x v="0"/>
          </reference>
          <reference field="0" count="1" selected="0">
            <x v="3"/>
          </reference>
        </references>
      </pivotArea>
    </chartFormat>
  </chartFormats>
  <pivotHierarchies count="52">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INDEX +MATCH!$A$2:$H$152">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6F716C64-4EE2-40EC-91DC-003B435B8695}" name="PivotTable9" cacheId="174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S6:U13" firstHeaderRow="0" firstDataRow="1" firstDataCol="1"/>
  <pivotFields count="4">
    <pivotField axis="axisRow" allDrilled="1" subtotalTop="0" showAll="0" dataSourceSort="1" defaultSubtotal="0" defaultAttributeDrillState="1">
      <items count="6">
        <item x="0"/>
        <item x="1"/>
        <item x="2"/>
        <item x="3"/>
        <item x="4"/>
        <item x="5"/>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Fields count="1">
    <field x="-2"/>
  </colFields>
  <colItems count="2">
    <i>
      <x/>
    </i>
    <i i="1">
      <x v="1"/>
    </i>
  </colItems>
  <dataFields count="2">
    <dataField name="Sum of Salary" fld="1" baseField="0" baseItem="0"/>
    <dataField name="Count of Name" fld="2" subtotal="count" baseField="0" baseItem="0"/>
  </dataFields>
  <formats count="3">
    <format dxfId="2507">
      <pivotArea collapsedLevelsAreSubtotals="1" fieldPosition="0">
        <references count="2">
          <reference field="4294967294" count="1" selected="0">
            <x v="0"/>
          </reference>
          <reference field="0" count="0"/>
        </references>
      </pivotArea>
    </format>
    <format dxfId="2508">
      <pivotArea outline="0" collapsedLevelsAreSubtotals="1" fieldPosition="0">
        <references count="1">
          <reference field="4294967294" count="1" selected="0">
            <x v="1"/>
          </reference>
        </references>
      </pivotArea>
    </format>
    <format dxfId="2509">
      <pivotArea dataOnly="0" labelOnly="1" outline="0" fieldPosition="0">
        <references count="1">
          <reference field="4294967294" count="1">
            <x v="1"/>
          </reference>
        </references>
      </pivotArea>
    </format>
  </formats>
  <pivotHierarchies count="52">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VLOOOKUP Duplicates!$A$2:$H$153">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7880500-E378-4882-933B-C0C68F99C54A}" autoFormatId="16" applyNumberFormats="0" applyBorderFormats="0" applyFontFormats="0" applyPatternFormats="0" applyAlignmentFormats="0" applyWidthHeightFormats="0">
  <queryTableRefresh nextId="10">
    <queryTableFields count="9">
      <queryTableField id="1" name="Employee ID" tableColumnId="1"/>
      <queryTableField id="2" name="Name" tableColumnId="2"/>
      <queryTableField id="3" name="Department" tableColumnId="3"/>
      <queryTableField id="4" name="Country" tableColumnId="4"/>
      <queryTableField id="5" name="Salary" tableColumnId="5"/>
      <queryTableField id="6" name="Date of Joining" tableColumnId="6"/>
      <queryTableField id="7" name="Performance Rating" tableColumnId="7"/>
      <queryTableField id="8" name="Gender" tableColumnId="8"/>
      <queryTableField id="9" name="Email"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ee_ID" xr10:uid="{BB41464F-B8C6-4BA4-9D23-6B3DEE489512}" sourceName="[Range].[Employee ID]">
  <pivotTables>
    <pivotTable tabId="21" name="PivotTable11"/>
    <pivotTable tabId="21" name="PivotTable10"/>
    <pivotTable tabId="20" name="PivotTable1"/>
    <pivotTable tabId="20" name="PivotTable2"/>
    <pivotTable tabId="20" name="PivotTable3"/>
    <pivotTable tabId="22" name="PivotTable12"/>
    <pivotTable tabId="22" name="PivotTable13"/>
    <pivotTable tabId="17" name="PivotTable3"/>
  </pivotTables>
  <data>
    <olap pivotCacheId="1997957655">
      <levels count="2">
        <level uniqueName="[Range].[Employee ID].[(All)]" sourceCaption="(All)" count="0"/>
        <level uniqueName="[Range].[Employee ID].[Employee ID]" sourceCaption="Employee ID" count="150">
          <ranges>
            <range startItem="0">
              <i n="[Range].[Employee ID].&amp;[EMP1000]" c="EMP1000"/>
              <i n="[Range].[Employee ID].&amp;[EMP1001]" c="EMP1001"/>
              <i n="[Range].[Employee ID].&amp;[EMP1002]" c="EMP1002"/>
              <i n="[Range].[Employee ID].&amp;[EMP1003]" c="EMP1003"/>
              <i n="[Range].[Employee ID].&amp;[EMP1004]" c="EMP1004"/>
              <i n="[Range].[Employee ID].&amp;[EMP1005]" c="EMP1005"/>
              <i n="[Range].[Employee ID].&amp;[EMP1006]" c="EMP1006"/>
              <i n="[Range].[Employee ID].&amp;[EMP1007]" c="EMP1007"/>
              <i n="[Range].[Employee ID].&amp;[EMP1008]" c="EMP1008"/>
              <i n="[Range].[Employee ID].&amp;[EMP1009]" c="EMP1009"/>
              <i n="[Range].[Employee ID].&amp;[EMP1010]" c="EMP1010"/>
              <i n="[Range].[Employee ID].&amp;[EMP1011]" c="EMP1011"/>
              <i n="[Range].[Employee ID].&amp;[EMP1012]" c="EMP1012"/>
              <i n="[Range].[Employee ID].&amp;[EMP1013]" c="EMP1013"/>
              <i n="[Range].[Employee ID].&amp;[EMP1014]" c="EMP1014"/>
              <i n="[Range].[Employee ID].&amp;[EMP1015]" c="EMP1015"/>
              <i n="[Range].[Employee ID].&amp;[EMP1016]" c="EMP1016"/>
              <i n="[Range].[Employee ID].&amp;[EMP1017]" c="EMP1017"/>
              <i n="[Range].[Employee ID].&amp;[EMP1018]" c="EMP1018"/>
              <i n="[Range].[Employee ID].&amp;[EMP1019]" c="EMP1019"/>
              <i n="[Range].[Employee ID].&amp;[EMP1020]" c="EMP1020"/>
              <i n="[Range].[Employee ID].&amp;[EMP1021]" c="EMP1021"/>
              <i n="[Range].[Employee ID].&amp;[EMP1022]" c="EMP1022"/>
              <i n="[Range].[Employee ID].&amp;[EMP1023]" c="EMP1023"/>
              <i n="[Range].[Employee ID].&amp;[EMP1024]" c="EMP1024"/>
              <i n="[Range].[Employee ID].&amp;[EMP1025]" c="EMP1025"/>
              <i n="[Range].[Employee ID].&amp;[EMP1026]" c="EMP1026"/>
              <i n="[Range].[Employee ID].&amp;[EMP1027]" c="EMP1027"/>
              <i n="[Range].[Employee ID].&amp;[EMP1028]" c="EMP1028"/>
              <i n="[Range].[Employee ID].&amp;[EMP1029]" c="EMP1029"/>
              <i n="[Range].[Employee ID].&amp;[EMP1030]" c="EMP1030"/>
              <i n="[Range].[Employee ID].&amp;[EMP1031]" c="EMP1031"/>
              <i n="[Range].[Employee ID].&amp;[EMP1032]" c="EMP1032"/>
              <i n="[Range].[Employee ID].&amp;[EMP1033]" c="EMP1033"/>
              <i n="[Range].[Employee ID].&amp;[EMP1034]" c="EMP1034"/>
              <i n="[Range].[Employee ID].&amp;[EMP1035]" c="EMP1035"/>
              <i n="[Range].[Employee ID].&amp;[EMP1036]" c="EMP1036"/>
              <i n="[Range].[Employee ID].&amp;[EMP1037]" c="EMP1037"/>
              <i n="[Range].[Employee ID].&amp;[EMP1038]" c="EMP1038"/>
              <i n="[Range].[Employee ID].&amp;[EMP1039]" c="EMP1039"/>
              <i n="[Range].[Employee ID].&amp;[EMP1040]" c="EMP1040"/>
              <i n="[Range].[Employee ID].&amp;[EMP1041]" c="EMP1041"/>
              <i n="[Range].[Employee ID].&amp;[EMP1042]" c="EMP1042"/>
              <i n="[Range].[Employee ID].&amp;[EMP1043]" c="EMP1043"/>
              <i n="[Range].[Employee ID].&amp;[EMP1044]" c="EMP1044"/>
              <i n="[Range].[Employee ID].&amp;[EMP1045]" c="EMP1045"/>
              <i n="[Range].[Employee ID].&amp;[EMP1046]" c="EMP1046"/>
              <i n="[Range].[Employee ID].&amp;[EMP1047]" c="EMP1047"/>
              <i n="[Range].[Employee ID].&amp;[EMP1048]" c="EMP1048"/>
              <i n="[Range].[Employee ID].&amp;[EMP1049]" c="EMP1049"/>
              <i n="[Range].[Employee ID].&amp;[EMP1050]" c="EMP1050"/>
              <i n="[Range].[Employee ID].&amp;[EMP1051]" c="EMP1051"/>
              <i n="[Range].[Employee ID].&amp;[EMP1052]" c="EMP1052"/>
              <i n="[Range].[Employee ID].&amp;[EMP1053]" c="EMP1053"/>
              <i n="[Range].[Employee ID].&amp;[EMP1054]" c="EMP1054"/>
              <i n="[Range].[Employee ID].&amp;[EMP1055]" c="EMP1055"/>
              <i n="[Range].[Employee ID].&amp;[EMP1056]" c="EMP1056"/>
              <i n="[Range].[Employee ID].&amp;[EMP1057]" c="EMP1057"/>
              <i n="[Range].[Employee ID].&amp;[EMP1058]" c="EMP1058"/>
              <i n="[Range].[Employee ID].&amp;[EMP1059]" c="EMP1059"/>
              <i n="[Range].[Employee ID].&amp;[EMP1060]" c="EMP1060"/>
              <i n="[Range].[Employee ID].&amp;[EMP1061]" c="EMP1061"/>
              <i n="[Range].[Employee ID].&amp;[EMP1062]" c="EMP1062"/>
              <i n="[Range].[Employee ID].&amp;[EMP1063]" c="EMP1063"/>
              <i n="[Range].[Employee ID].&amp;[EMP1064]" c="EMP1064"/>
              <i n="[Range].[Employee ID].&amp;[EMP1065]" c="EMP1065"/>
              <i n="[Range].[Employee ID].&amp;[EMP1066]" c="EMP1066"/>
              <i n="[Range].[Employee ID].&amp;[EMP1067]" c="EMP1067"/>
              <i n="[Range].[Employee ID].&amp;[EMP1068]" c="EMP1068"/>
              <i n="[Range].[Employee ID].&amp;[EMP1069]" c="EMP1069"/>
              <i n="[Range].[Employee ID].&amp;[EMP1070]" c="EMP1070"/>
              <i n="[Range].[Employee ID].&amp;[EMP1071]" c="EMP1071"/>
              <i n="[Range].[Employee ID].&amp;[EMP1072]" c="EMP1072"/>
              <i n="[Range].[Employee ID].&amp;[EMP1073]" c="EMP1073"/>
              <i n="[Range].[Employee ID].&amp;[EMP1074]" c="EMP1074"/>
              <i n="[Range].[Employee ID].&amp;[EMP1075]" c="EMP1075"/>
              <i n="[Range].[Employee ID].&amp;[EMP1076]" c="EMP1076"/>
              <i n="[Range].[Employee ID].&amp;[EMP1077]" c="EMP1077"/>
              <i n="[Range].[Employee ID].&amp;[EMP1078]" c="EMP1078"/>
              <i n="[Range].[Employee ID].&amp;[EMP1079]" c="EMP1079"/>
              <i n="[Range].[Employee ID].&amp;[EMP1080]" c="EMP1080"/>
              <i n="[Range].[Employee ID].&amp;[EMP1081]" c="EMP1081"/>
              <i n="[Range].[Employee ID].&amp;[EMP1082]" c="EMP1082"/>
              <i n="[Range].[Employee ID].&amp;[EMP1083]" c="EMP1083"/>
              <i n="[Range].[Employee ID].&amp;[EMP1084]" c="EMP1084"/>
              <i n="[Range].[Employee ID].&amp;[EMP1085]" c="EMP1085"/>
              <i n="[Range].[Employee ID].&amp;[EMP1086]" c="EMP1086"/>
              <i n="[Range].[Employee ID].&amp;[EMP1087]" c="EMP1087"/>
              <i n="[Range].[Employee ID].&amp;[EMP1088]" c="EMP1088"/>
              <i n="[Range].[Employee ID].&amp;[EMP1089]" c="EMP1089"/>
              <i n="[Range].[Employee ID].&amp;[EMP1090]" c="EMP1090"/>
              <i n="[Range].[Employee ID].&amp;[EMP1091]" c="EMP1091"/>
              <i n="[Range].[Employee ID].&amp;[EMP1092]" c="EMP1092"/>
              <i n="[Range].[Employee ID].&amp;[EMP1093]" c="EMP1093"/>
              <i n="[Range].[Employee ID].&amp;[EMP1094]" c="EMP1094"/>
              <i n="[Range].[Employee ID].&amp;[EMP1095]" c="EMP1095"/>
              <i n="[Range].[Employee ID].&amp;[EMP1096]" c="EMP1096"/>
              <i n="[Range].[Employee ID].&amp;[EMP1097]" c="EMP1097"/>
              <i n="[Range].[Employee ID].&amp;[EMP1098]" c="EMP1098"/>
              <i n="[Range].[Employee ID].&amp;[EMP1099]" c="EMP1099"/>
              <i n="[Range].[Employee ID].&amp;[EMP1100]" c="EMP1100"/>
              <i n="[Range].[Employee ID].&amp;[EMP1101]" c="EMP1101"/>
              <i n="[Range].[Employee ID].&amp;[EMP1102]" c="EMP1102"/>
              <i n="[Range].[Employee ID].&amp;[EMP1103]" c="EMP1103"/>
              <i n="[Range].[Employee ID].&amp;[EMP1104]" c="EMP1104"/>
              <i n="[Range].[Employee ID].&amp;[EMP1105]" c="EMP1105"/>
              <i n="[Range].[Employee ID].&amp;[EMP1106]" c="EMP1106"/>
              <i n="[Range].[Employee ID].&amp;[EMP1107]" c="EMP1107"/>
              <i n="[Range].[Employee ID].&amp;[EMP1108]" c="EMP1108"/>
              <i n="[Range].[Employee ID].&amp;[EMP1109]" c="EMP1109"/>
              <i n="[Range].[Employee ID].&amp;[EMP1110]" c="EMP1110"/>
              <i n="[Range].[Employee ID].&amp;[EMP1111]" c="EMP1111"/>
              <i n="[Range].[Employee ID].&amp;[EMP1112]" c="EMP1112"/>
              <i n="[Range].[Employee ID].&amp;[EMP1113]" c="EMP1113"/>
              <i n="[Range].[Employee ID].&amp;[EMP1114]" c="EMP1114"/>
              <i n="[Range].[Employee ID].&amp;[EMP1115]" c="EMP1115"/>
              <i n="[Range].[Employee ID].&amp;[EMP1116]" c="EMP1116"/>
              <i n="[Range].[Employee ID].&amp;[EMP1117]" c="EMP1117"/>
              <i n="[Range].[Employee ID].&amp;[EMP1118]" c="EMP1118"/>
              <i n="[Range].[Employee ID].&amp;[EMP1119]" c="EMP1119"/>
              <i n="[Range].[Employee ID].&amp;[EMP1120]" c="EMP1120"/>
              <i n="[Range].[Employee ID].&amp;[EMP1121]" c="EMP1121"/>
              <i n="[Range].[Employee ID].&amp;[EMP1122]" c="EMP1122"/>
              <i n="[Range].[Employee ID].&amp;[EMP1123]" c="EMP1123"/>
              <i n="[Range].[Employee ID].&amp;[EMP1124]" c="EMP1124"/>
              <i n="[Range].[Employee ID].&amp;[EMP1125]" c="EMP1125"/>
              <i n="[Range].[Employee ID].&amp;[EMP1126]" c="EMP1126"/>
              <i n="[Range].[Employee ID].&amp;[EMP1127]" c="EMP1127"/>
              <i n="[Range].[Employee ID].&amp;[EMP1128]" c="EMP1128"/>
              <i n="[Range].[Employee ID].&amp;[EMP1129]" c="EMP1129"/>
              <i n="[Range].[Employee ID].&amp;[EMP1130]" c="EMP1130"/>
              <i n="[Range].[Employee ID].&amp;[EMP1131]" c="EMP1131"/>
              <i n="[Range].[Employee ID].&amp;[EMP1132]" c="EMP1132"/>
              <i n="[Range].[Employee ID].&amp;[EMP1133]" c="EMP1133"/>
              <i n="[Range].[Employee ID].&amp;[EMP1134]" c="EMP1134"/>
              <i n="[Range].[Employee ID].&amp;[EMP1135]" c="EMP1135"/>
              <i n="[Range].[Employee ID].&amp;[EMP1136]" c="EMP1136"/>
              <i n="[Range].[Employee ID].&amp;[EMP1137]" c="EMP1137"/>
              <i n="[Range].[Employee ID].&amp;[EMP1138]" c="EMP1138"/>
              <i n="[Range].[Employee ID].&amp;[EMP1139]" c="EMP1139"/>
              <i n="[Range].[Employee ID].&amp;[EMP1140]" c="EMP1140"/>
              <i n="[Range].[Employee ID].&amp;[EMP1141]" c="EMP1141"/>
              <i n="[Range].[Employee ID].&amp;[EMP1142]" c="EMP1142"/>
              <i n="[Range].[Employee ID].&amp;[EMP1143]" c="EMP1143"/>
              <i n="[Range].[Employee ID].&amp;[EMP1144]" c="EMP1144"/>
              <i n="[Range].[Employee ID].&amp;[EMP1145]" c="EMP1145"/>
              <i n="[Range].[Employee ID].&amp;[EMP1146]" c="EMP1146"/>
              <i n="[Range].[Employee ID].&amp;[EMP1147]" c="EMP1147"/>
              <i n="[Range].[Employee ID].&amp;[EMP1148]" c="EMP1148"/>
              <i n="[Range].[Employee ID].&amp;[EMP1149]" c="EMP1149"/>
            </range>
          </ranges>
        </level>
      </levels>
      <selections count="1">
        <selection n="[Range].[Employee ID].[All]"/>
      </selections>
    </olap>
  </data>
  <extLst>
    <x:ext xmlns:x15="http://schemas.microsoft.com/office/spreadsheetml/2010/11/main" uri="{03082B11-2C62-411c-B77F-237D8FCFBE4C}">
      <x15:slicerCachePivotTables>
        <pivotTable tabId="4294967295" name="PivotChartTable1"/>
        <pivotTable tabId="4294967295" name="PivotChartTable4"/>
        <pivotTable tabId="4294967295" name="PivotChartTable2"/>
        <pivotTable tabId="4294967295" name="PivotChartTable3"/>
      </x15:slicerCachePivotTables>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6FD7632B-0897-49F1-82AC-82FBF4019180}" sourceName="[Range].[Department]">
  <pivotTables>
    <pivotTable tabId="20" name="PivotTable1"/>
    <pivotTable tabId="21" name="PivotTable10"/>
    <pivotTable tabId="21" name="PivotTable11"/>
    <pivotTable tabId="20" name="PivotTable2"/>
    <pivotTable tabId="20" name="PivotTable3"/>
    <pivotTable tabId="22" name="PivotTable12"/>
    <pivotTable tabId="22" name="PivotTable13"/>
    <pivotTable tabId="22" name="PivotTable14"/>
    <pivotTable tabId="22" name="PivotTable9"/>
    <pivotTable tabId="17" name="PivotTable2"/>
    <pivotTable tabId="17" name="PivotTable3"/>
  </pivotTables>
  <data>
    <olap pivotCacheId="1997957655">
      <levels count="2">
        <level uniqueName="[Range].[Department].[(All)]" sourceCaption="(All)" count="0"/>
        <level uniqueName="[Range].[Department].[Department]" sourceCaption="Department" count="6">
          <ranges>
            <range startItem="0">
              <i n="[Range].[Department].&amp;[Finance]" c="Finance"/>
              <i n="[Range].[Department].&amp;[HR]" c="HR"/>
              <i n="[Range].[Department].&amp;[IT]" c="IT"/>
              <i n="[Range].[Department].&amp;[Marketing]" c="Marketing"/>
              <i n="[Range].[Department].&amp;[Sales]" c="Sales"/>
              <i n="[Range].[Department].&amp;[Unknown]" c="Unknown"/>
            </range>
          </ranges>
        </level>
      </levels>
      <selections count="1">
        <selection n="[Range].[Department].[All]"/>
      </selections>
    </olap>
  </data>
  <extLst>
    <x:ext xmlns:x15="http://schemas.microsoft.com/office/spreadsheetml/2010/11/main" uri="{03082B11-2C62-411c-B77F-237D8FCFBE4C}">
      <x15:slicerCachePivotTables>
        <pivotTable tabId="4294967295" name="PivotChartTable1"/>
        <pivotTable tabId="4294967295" name="PivotChartTable4"/>
        <pivotTable tabId="4294967295" name="PivotChartTable2"/>
        <pivotTable tabId="4294967295" name="PivotChartTable3"/>
      </x15:slicerCachePivotTables>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me" xr10:uid="{0E3ED94E-1340-4DDD-A148-EEBFCA2D0E55}" sourceName="[Range 2].[Name]">
  <pivotTables>
    <pivotTable tabId="21" name="PivotTable10"/>
    <pivotTable tabId="21" name="PivotTable11"/>
    <pivotTable tabId="20" name="PivotTable1"/>
    <pivotTable tabId="20" name="PivotTable2"/>
    <pivotTable tabId="20" name="PivotTable3"/>
    <pivotTable tabId="22" name="PivotTable12"/>
    <pivotTable tabId="22" name="PivotTable13"/>
    <pivotTable tabId="22" name="PivotTable14"/>
    <pivotTable tabId="22" name="PivotTable9"/>
    <pivotTable tabId="17" name="PivotTable2"/>
    <pivotTable tabId="17" name="PivotTable3"/>
    <pivotTable tabId="18" name="PivotTable4"/>
  </pivotTables>
  <data>
    <olap pivotCacheId="1997957655">
      <levels count="2">
        <level uniqueName="[Range 2].[Name].[(All)]" sourceCaption="(All)" count="0"/>
        <level uniqueName="[Range 2].[Name].[Name]" sourceCaption="Name" count="8">
          <ranges>
            <range startItem="0">
              <i n="[Range 2].[Name].&amp;[Alice Brown]" c="Alice Brown"/>
              <i n="[Range 2].[Name].&amp;[Bob Johnson]" c="Bob Johnson"/>
              <i n="[Range 2].[Name].&amp;[Chris Lee]" c="Chris Lee"/>
              <i n="[Range 2].[Name].&amp;[Eve Adams]" c="Eve Adams"/>
              <i n="[Range 2].[Name].&amp;[Jane Smith]" c="Jane Smith"/>
              <i n="[Range 2].[Name].&amp;[John Doe]" c="John Doe"/>
              <i n="[Range 2].[Name].&amp;[Sam Wilson]" c="Sam Wilson"/>
              <i n="[Range 2].[Name].&amp;[Unknown]" c="Unknown"/>
            </range>
          </ranges>
        </level>
      </levels>
      <selections count="1">
        <selection n="[Range 2].[Name].[All]"/>
      </selections>
    </olap>
  </data>
  <extLst>
    <x:ext xmlns:x15="http://schemas.microsoft.com/office/spreadsheetml/2010/11/main" uri="{03082B11-2C62-411c-B77F-237D8FCFBE4C}">
      <x15:slicerCachePivotTables>
        <pivotTable tabId="4294967295" name="PivotChartTable1"/>
        <pivotTable tabId="4294967295" name="PivotChartTable4"/>
        <pivotTable tabId="4294967295" name="PivotChartTable2"/>
        <pivotTable tabId="4294967295" name="PivotChartTable3"/>
      </x15:slicerCachePivotTables>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mployee ID" xr10:uid="{17EB2A07-87D9-4DBA-B646-993FAD78C4FF}" cache="Slicer_Employee_ID" caption="Employee ID" level="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C3C862B1-9ED8-4AE8-BD35-C78CB09CFBDD}" cache="Slicer_Department" caption="Department" level="1" rowHeight="247650"/>
  <slicer name="Name" xr10:uid="{4AD24C02-D4AF-4799-A8B9-0B20DE0B059F}" cache="Slicer_Name" caption="Name" level="1" rowHeight="247650"/>
</slicers>
</file>

<file path=xl/tables/_rels/table8.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4476F09-67E0-48F6-BE95-222415AF5692}" name="Table1" displayName="Table1" ref="A2:I152" totalsRowShown="0" headerRowDxfId="2767" dataDxfId="2765" headerRowBorderDxfId="2766" tableBorderDxfId="2764" totalsRowBorderDxfId="2763">
  <autoFilter ref="A2:I152" xr:uid="{B4476F09-67E0-48F6-BE95-222415AF5692}"/>
  <tableColumns count="9">
    <tableColumn id="1" xr3:uid="{F2540320-C3D2-4E70-BCA9-32FB31665BB5}" name="Employee ID" dataDxfId="2762"/>
    <tableColumn id="2" xr3:uid="{F893BEF7-C06E-4B42-80A7-354A590C870B}" name="Name" dataDxfId="2761"/>
    <tableColumn id="3" xr3:uid="{1061607D-DF57-4890-956F-92275DA87AA4}" name="Department" dataDxfId="2760"/>
    <tableColumn id="4" xr3:uid="{80A1C701-A7CC-486E-9965-C9A165924974}" name="Country" dataDxfId="2759"/>
    <tableColumn id="5" xr3:uid="{0833329D-47D8-4959-9054-884E8BAA7482}" name="Salary" dataDxfId="2758"/>
    <tableColumn id="6" xr3:uid="{77818B84-380A-45A2-8019-927B38B61FA2}" name="Date of Joining" dataDxfId="2757"/>
    <tableColumn id="7" xr3:uid="{7EF4C77D-0164-44AD-B5A9-0C522A5EFC09}" name="Performance Rating" dataDxfId="2756"/>
    <tableColumn id="8" xr3:uid="{22988CB9-FD67-49D2-A649-46B7C85AF45A}" name="Gender" dataDxfId="2755"/>
    <tableColumn id="9" xr3:uid="{8F81B6F5-DC0E-4E82-8FFE-48F8C4D300D4}" name="Email" dataDxfId="2754"/>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B3064BC-5CCE-439B-B91C-4C76DF6580A0}" name="Table13" displayName="Table13" ref="A2:I152" totalsRowShown="0" headerRowDxfId="2753" dataDxfId="2751" headerRowBorderDxfId="2752" tableBorderDxfId="2750" totalsRowBorderDxfId="2749">
  <autoFilter ref="A2:I152" xr:uid="{FB3064BC-5CCE-439B-B91C-4C76DF6580A0}"/>
  <tableColumns count="9">
    <tableColumn id="1" xr3:uid="{BA1B1CCA-E18E-4959-AE05-05957875D571}" name="Employee ID" dataDxfId="2748"/>
    <tableColumn id="2" xr3:uid="{672F3AB4-EC8C-4F8F-9047-E031C7953281}" name="Name" dataDxfId="2747"/>
    <tableColumn id="3" xr3:uid="{55A735DA-F614-424E-BCA6-D38BD0188957}" name="Department" dataDxfId="2746"/>
    <tableColumn id="4" xr3:uid="{B1BB8FFA-D832-49CF-B538-9437812D21DE}" name="Country" dataDxfId="2745"/>
    <tableColumn id="5" xr3:uid="{3B946B93-BFE8-47F5-9651-8F7C656B5642}" name="Salary" dataDxfId="2744"/>
    <tableColumn id="6" xr3:uid="{EB9FDFD1-961A-4F0F-BA01-727A43B249AC}" name="Date of Joining" dataDxfId="2743"/>
    <tableColumn id="7" xr3:uid="{FA8D8543-0A4D-46F0-9E8B-C1E8C05417F0}" name="Performance Rating" dataDxfId="2742"/>
    <tableColumn id="8" xr3:uid="{C3D89816-8C9C-49F8-8032-818888358025}" name="Gender" dataDxfId="2741"/>
    <tableColumn id="9" xr3:uid="{3221D2EE-D7DE-4F63-A586-CFFC90E48A6A}" name="Email" dataDxfId="2740"/>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4A15B54-8513-450B-9192-1B17F26D3481}" name="Table14" displayName="Table14" ref="A2:I152" totalsRowShown="0" headerRowDxfId="2739" dataDxfId="2737" headerRowBorderDxfId="2738" tableBorderDxfId="2736" totalsRowBorderDxfId="2735">
  <autoFilter ref="A2:I152" xr:uid="{B4A15B54-8513-450B-9192-1B17F26D3481}"/>
  <tableColumns count="9">
    <tableColumn id="1" xr3:uid="{B615FA62-03F6-42B3-A6A0-77371F4DFB16}" name="Employee ID" dataDxfId="2734"/>
    <tableColumn id="2" xr3:uid="{2852EE22-3FA4-4CBB-A813-7641C8B17BBC}" name="Name" dataDxfId="2733"/>
    <tableColumn id="3" xr3:uid="{8E93F08E-66C5-4FB4-9E22-F7488F26E19A}" name="Department" dataDxfId="2732"/>
    <tableColumn id="4" xr3:uid="{7D90105E-C59F-4203-B8F4-4B9D810B9E8C}" name="Country" dataDxfId="2731"/>
    <tableColumn id="5" xr3:uid="{3BE94085-6891-4A1C-86D3-2320F270762F}" name="Salary" dataDxfId="2730"/>
    <tableColumn id="6" xr3:uid="{9C3AE5C1-8647-4FFC-A8F7-503B65431373}" name="Date of Joining" dataDxfId="2729"/>
    <tableColumn id="7" xr3:uid="{3085AD84-8876-4252-BE1F-9E9B56E9504B}" name="Performance Rating" dataDxfId="2728"/>
    <tableColumn id="8" xr3:uid="{76CEC6B6-F046-43B2-9176-C2AABD772874}" name="Gender" dataDxfId="2727"/>
    <tableColumn id="9" xr3:uid="{78A18E09-D5C9-4809-BD2F-03BF1053B44F}" name="Email" dataDxfId="2726"/>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7D8139E-7370-4F6E-9C4F-8A1D3B50E5F8}" name="Table4" displayName="Table4" ref="K3:M14" totalsRowShown="0" headerRowDxfId="2725" headerRowBorderDxfId="2724" tableBorderDxfId="2723" totalsRowBorderDxfId="2722">
  <autoFilter ref="K3:M14" xr:uid="{B7D8139E-7370-4F6E-9C4F-8A1D3B50E5F8}"/>
  <tableColumns count="3">
    <tableColumn id="1" xr3:uid="{3E88212F-F3D7-4BA1-A249-1A097A9AC830}" name="Metric" dataDxfId="2721"/>
    <tableColumn id="2" xr3:uid="{5692A99E-5ADB-49E6-9847-471DA5AED980}" name="Salary" dataDxfId="2720"/>
    <tableColumn id="3" xr3:uid="{59224843-246F-4E02-B489-A3CF380B355D}" name="Perfomance Rating" dataDxfId="2719"/>
  </tableColumns>
  <tableStyleInfo name="TableStyleMedium6"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BC415C03-75F3-4BB4-94A5-AF9B6D866C3B}" name="Table148" displayName="Table148" ref="A2:J152" totalsRowShown="0" headerRowDxfId="2718" dataDxfId="2716" headerRowBorderDxfId="2717" tableBorderDxfId="2715" totalsRowBorderDxfId="2714">
  <autoFilter ref="A2:J152" xr:uid="{BC415C03-75F3-4BB4-94A5-AF9B6D866C3B}"/>
  <tableColumns count="10">
    <tableColumn id="1" xr3:uid="{2FEAE4C3-9DD3-4C93-B68A-187C27438B7F}" name="Employee ID" dataDxfId="2713"/>
    <tableColumn id="2" xr3:uid="{93963A6A-0948-4530-A305-9D21588FD1CD}" name="Name" dataDxfId="2712"/>
    <tableColumn id="3" xr3:uid="{0E58D3E1-B7B4-41E5-A42D-719516AC7725}" name="Department" dataDxfId="2711"/>
    <tableColumn id="4" xr3:uid="{D0B96509-9F88-417D-A44F-2FAC162D7DDF}" name="Country" dataDxfId="2710"/>
    <tableColumn id="5" xr3:uid="{F41DA3B2-8439-4ED2-88AB-DB6500875167}" name="Salary" dataDxfId="2709"/>
    <tableColumn id="6" xr3:uid="{957EA6A2-2604-486B-A031-B0812CBE48D6}" name="Date of Joining" dataDxfId="2708"/>
    <tableColumn id="7" xr3:uid="{22B147D1-7185-40F0-88BB-C3BA5BC08E99}" name="Performance Rating" dataDxfId="2707"/>
    <tableColumn id="8" xr3:uid="{143CC242-D447-45E2-BF27-05A5FBEC0108}" name="Gender" dataDxfId="2706"/>
    <tableColumn id="9" xr3:uid="{B6A9517B-AA16-418F-9C43-868028FBA81F}" name="Email" dataDxfId="2705"/>
    <tableColumn id="10" xr3:uid="{7E43709B-3EED-44E2-84C5-7CE8112E80FC}" name="Salary Category" dataDxfId="2704">
      <calculatedColumnFormula>IF(E3&gt;80000,"High Salary", "Normal")</calculatedColumnFormula>
    </tableColum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959EA534-58C4-4CFB-B164-99963CAE440C}" name="Table139" displayName="Table139" ref="A2:I152" totalsRowShown="0" headerRowDxfId="2703" dataDxfId="2701" headerRowBorderDxfId="2702" tableBorderDxfId="2700" totalsRowBorderDxfId="2699">
  <autoFilter ref="A2:I152" xr:uid="{959EA534-58C4-4CFB-B164-99963CAE440C}"/>
  <tableColumns count="9">
    <tableColumn id="1" xr3:uid="{2D9B72F1-0804-41F8-A680-8F216BB29166}" name="Employee ID" dataDxfId="2698"/>
    <tableColumn id="2" xr3:uid="{2D530EC4-B7C8-4402-8071-91E21864B874}" name="Name" dataDxfId="2697"/>
    <tableColumn id="3" xr3:uid="{3EFD9F14-12A4-4C9D-8D3E-4B751A341D51}" name="Department" dataDxfId="2696"/>
    <tableColumn id="4" xr3:uid="{5E3BBAAC-8D53-4D97-9B04-5145052272BE}" name="Country" dataDxfId="2695"/>
    <tableColumn id="5" xr3:uid="{376A4010-6544-452E-A684-4BA740DE63C9}" name="Salary" dataDxfId="2694"/>
    <tableColumn id="6" xr3:uid="{CF162188-E8CF-43EF-975A-E0D17459DF39}" name="Date of Joining" dataDxfId="2693"/>
    <tableColumn id="7" xr3:uid="{D1A3DDE8-4716-40A5-A834-34B17812FF3A}" name="Performance Rating" dataDxfId="2692"/>
    <tableColumn id="8" xr3:uid="{CC67460A-D7CC-46EE-B6B3-668D89C1F666}" name="Gender" dataDxfId="2691"/>
    <tableColumn id="9" xr3:uid="{148D7FD1-E385-4BC6-8BD7-19DDBF29A7FE}" name="Email" dataDxfId="2690"/>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D6728670-085E-4A46-BE8E-57078ADA4AEC}" name="Table9" displayName="Table9" ref="N4:O9" totalsRowShown="0" headerRowDxfId="2689" headerRowBorderDxfId="2688" tableBorderDxfId="2687" totalsRowBorderDxfId="2686">
  <autoFilter ref="N4:O9" xr:uid="{D6728670-085E-4A46-BE8E-57078ADA4AEC}"/>
  <tableColumns count="2">
    <tableColumn id="1" xr3:uid="{6061A574-31DF-473C-9B5A-A8158664DEFC}" name="Check Performed" dataDxfId="2685"/>
    <tableColumn id="2" xr3:uid="{DBB98A79-9313-4D27-9C8F-250F7CE83834}" name="Result" dataDxfId="2684"/>
  </tableColumns>
  <tableStyleInfo name="TableStyleMedium4"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64E82428-2161-4E9A-8D25-C25F9A007D3B}" name="Table111_1" displayName="Table111_1" ref="A2:I152" tableType="queryTable" totalsRowShown="0">
  <autoFilter ref="A2:I152" xr:uid="{64E82428-2161-4E9A-8D25-C25F9A007D3B}"/>
  <tableColumns count="9">
    <tableColumn id="1" xr3:uid="{CD646406-58E8-467A-A8FA-E8AECBD5F62A}" uniqueName="1" name="Employee ID" queryTableFieldId="1" dataDxfId="2683"/>
    <tableColumn id="2" xr3:uid="{3E13C3CE-EC7E-4F05-8840-DB884D2EDA0C}" uniqueName="2" name="Name" queryTableFieldId="2" dataDxfId="2682"/>
    <tableColumn id="3" xr3:uid="{842F8764-6D7A-4888-8D15-4C48D1AB2E5D}" uniqueName="3" name="Department" queryTableFieldId="3" dataDxfId="2681"/>
    <tableColumn id="4" xr3:uid="{597D1102-52C5-4130-BB46-4FD676576A55}" uniqueName="4" name="Country" queryTableFieldId="4" dataDxfId="2680"/>
    <tableColumn id="5" xr3:uid="{84046C1D-DC78-48FA-95E2-34C5C3619D1F}" uniqueName="5" name="Salary" queryTableFieldId="5" dataDxfId="2679"/>
    <tableColumn id="6" xr3:uid="{5A9FEF18-B6BD-4568-9A6D-AC253112AA6A}" uniqueName="6" name="Date of Joining" queryTableFieldId="6" dataDxfId="2678"/>
    <tableColumn id="7" xr3:uid="{5C38829D-2161-4582-8739-ECFDD830C9E4}" uniqueName="7" name="Performance Rating" queryTableFieldId="7" dataDxfId="2677"/>
    <tableColumn id="8" xr3:uid="{9CFCADB9-882D-4395-89C4-33B684E84DA8}" uniqueName="8" name="Gender" queryTableFieldId="8" dataDxfId="2676"/>
    <tableColumn id="9" xr3:uid="{13AD9BC4-D09A-4865-840B-59AB704D14D0}" uniqueName="9" name="Email" queryTableFieldId="9" dataDxfId="2675"/>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111C85FD-816C-4FD2-8E2F-0C28CC72DD53}" name="Table14813" displayName="Table14813" ref="A2:J152" totalsRowShown="0" headerRowDxfId="2674" dataDxfId="2672" headerRowBorderDxfId="2673" tableBorderDxfId="2671" totalsRowBorderDxfId="2670">
  <autoFilter ref="A2:J152" xr:uid="{111C85FD-816C-4FD2-8E2F-0C28CC72DD53}"/>
  <tableColumns count="10">
    <tableColumn id="1" xr3:uid="{99A2A350-06BB-440C-A8EC-B63A1DB2E433}" name="Employee ID" dataDxfId="2669"/>
    <tableColumn id="2" xr3:uid="{F20AF6C4-876D-4249-8CAD-F0829472DEEC}" name="Name" dataDxfId="2668"/>
    <tableColumn id="3" xr3:uid="{17FC09A0-FBBE-4191-8909-192940BCC355}" name="Department" dataDxfId="2667"/>
    <tableColumn id="4" xr3:uid="{65CAD1D2-C494-452F-AA0A-0FA90CC69D18}" name="Country" dataDxfId="2666"/>
    <tableColumn id="5" xr3:uid="{00A48AEC-A6FB-4E70-BF86-C35D56E77A88}" name="Salary" dataDxfId="2665"/>
    <tableColumn id="6" xr3:uid="{BC6920B4-0D2A-4FD2-96A1-90C30032DB01}" name="Date of Joining" dataDxfId="2664"/>
    <tableColumn id="7" xr3:uid="{CE66B61C-E422-40A2-A68F-1790E7E8D92B}" name="Performance Rating" dataDxfId="2663"/>
    <tableColumn id="8" xr3:uid="{6EA02825-F71C-4319-A2FE-CD4CE8612B1B}" name="Gender" dataDxfId="2662"/>
    <tableColumn id="9" xr3:uid="{6D20F685-70FE-4FD0-91A6-07ABB0A70ABF}" name="Email" dataDxfId="2661"/>
    <tableColumn id="10" xr3:uid="{19B15AB6-262E-4DF9-88FE-CAF9D552F546}" name="Salary Category" dataDxfId="2660">
      <calculatedColumnFormula>IF(E3&gt;80000,"High Salary", "Normal")</calculatedColumnFormula>
    </tableColumn>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62865B63-798F-4A2E-9D31-83A899D26711}" name="Table14814" displayName="Table14814" ref="A2:J152" totalsRowShown="0" headerRowDxfId="2659" dataDxfId="2657" headerRowBorderDxfId="2658" tableBorderDxfId="2656" totalsRowBorderDxfId="2655">
  <autoFilter ref="A2:J152" xr:uid="{62865B63-798F-4A2E-9D31-83A899D26711}"/>
  <tableColumns count="10">
    <tableColumn id="1" xr3:uid="{84ECC567-A99D-4A0C-A498-A7F15DFD5520}" name="Employee ID" dataDxfId="2654"/>
    <tableColumn id="2" xr3:uid="{0F11AF13-A7BE-48E6-8AB6-D6EB7C48F866}" name="Name" dataDxfId="2653"/>
    <tableColumn id="3" xr3:uid="{DCDACA32-0D4A-44D5-A521-BBA38F89A2A3}" name="Department" dataDxfId="2652"/>
    <tableColumn id="4" xr3:uid="{17B42544-5EF1-4D61-960C-B4AFC187D431}" name="Country" dataDxfId="2651"/>
    <tableColumn id="5" xr3:uid="{DC922FEA-A55C-4030-A5AB-432FCD063A99}" name="Salary" dataDxfId="2650"/>
    <tableColumn id="6" xr3:uid="{46B29B67-2CA2-48CF-8E51-EBD0F100838B}" name="Date of Joining" dataDxfId="2649"/>
    <tableColumn id="7" xr3:uid="{B990368C-E5B2-43E0-BA95-0B46711528B7}" name="Performance Rating" dataDxfId="2648"/>
    <tableColumn id="8" xr3:uid="{61A06A4F-E814-49F0-B827-694A70C2A62D}" name="Gender" dataDxfId="2647"/>
    <tableColumn id="9" xr3:uid="{EFF91629-7EA2-4A60-BC35-90BCF8DB104A}" name="Email" dataDxfId="2646"/>
    <tableColumn id="10" xr3:uid="{C8815F61-84C7-4C01-A992-FCB3E3A6F880}" name="Salary Category" dataDxfId="2645">
      <calculatedColumnFormula>IF(E3&gt;80000,"High Salary", "Normal")</calculatedColumnFormula>
    </tableColumn>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72A44114-26DE-49E0-95FF-A7053EE61E5C}" name="Table14815" displayName="Table14815" ref="A2:I152" totalsRowShown="0" headerRowDxfId="2644" dataDxfId="2642" headerRowBorderDxfId="2643" tableBorderDxfId="2641" totalsRowBorderDxfId="2640">
  <autoFilter ref="A2:I152" xr:uid="{72A44114-26DE-49E0-95FF-A7053EE61E5C}"/>
  <tableColumns count="9">
    <tableColumn id="1" xr3:uid="{413260F4-8C65-46D7-9D41-9B6ED31E66F6}" name="Employee ID" dataDxfId="2639"/>
    <tableColumn id="2" xr3:uid="{3CF310FF-8CA1-49EE-9865-AC593DDEB9D5}" name="Name" dataDxfId="2638"/>
    <tableColumn id="3" xr3:uid="{75252539-8281-45B3-87BA-96C1F51B2A26}" name="Department" dataDxfId="2637"/>
    <tableColumn id="4" xr3:uid="{4B697FA3-F4CD-4C10-A3FF-E02B396D7D79}" name="Country" dataDxfId="2636"/>
    <tableColumn id="5" xr3:uid="{7518DE47-B00C-4AD5-A3F5-D1E9F6BEA97A}" name="Salary" dataDxfId="2635"/>
    <tableColumn id="6" xr3:uid="{343D6C80-F67F-43AD-9B78-BB518AF5EA3B}" name="Date of Joining" dataDxfId="2634"/>
    <tableColumn id="7" xr3:uid="{067875DA-6C81-421B-A2F7-154F23F85A85}" name="Performance Rating" dataDxfId="2633"/>
    <tableColumn id="8" xr3:uid="{5A971A0C-CA75-4E88-850F-F9C2BDD4BB17}" name="Gender" dataDxfId="2632"/>
    <tableColumn id="9" xr3:uid="{D290FC36-0706-433B-A8F1-A861C539D598}" name="Email" dataDxfId="2631"/>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C03559FF-06AF-461D-A280-3C705631B72E}" name="Table15" displayName="Table15" ref="K5:N10" totalsRowShown="0" headerRowDxfId="2630" dataDxfId="2628" headerRowBorderDxfId="2629" tableBorderDxfId="2627" totalsRowBorderDxfId="2626">
  <autoFilter ref="K5:N10" xr:uid="{C03559FF-06AF-461D-A280-3C705631B72E}"/>
  <tableColumns count="4">
    <tableColumn id="1" xr3:uid="{C61AF3AD-23F7-450A-882D-F5F8FEB437B7}" name="Rank" dataDxfId="2625"/>
    <tableColumn id="2" xr3:uid="{6417742A-32B9-49D5-AC1D-A50C695B7974}" name="Employee ID" dataDxfId="2624"/>
    <tableColumn id="3" xr3:uid="{DD86F187-5B3D-4BC2-9DF3-C86F8F9FA1BD}" name="Name" dataDxfId="2623"/>
    <tableColumn id="6" xr3:uid="{993D966B-ED5E-448F-BC3A-2C8DCF34E39B}" name="Salary" dataDxfId="2622"/>
  </tableColumns>
  <tableStyleInfo name="TableStyleMedium6"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1E943080-2CC5-47D2-AEE5-6CEDDE72B6FC}" name="Table117" displayName="Table117" ref="A2:J152" totalsRowShown="0" headerRowDxfId="2621" dataDxfId="2619" headerRowBorderDxfId="2620" tableBorderDxfId="2618" totalsRowBorderDxfId="2617">
  <autoFilter ref="A2:J152" xr:uid="{1E943080-2CC5-47D2-AEE5-6CEDDE72B6FC}"/>
  <tableColumns count="10">
    <tableColumn id="1" xr3:uid="{0FD6DB15-CF68-4AA5-8BCF-F61CF60A0472}" name="Employee ID" dataDxfId="2616"/>
    <tableColumn id="2" xr3:uid="{D2C9FAC5-9A5A-4C87-8D90-89F4FE99FBC5}" name="Name" dataDxfId="2615"/>
    <tableColumn id="3" xr3:uid="{24B2AA68-8273-4EF6-9E5C-7CEE5B89DE5F}" name="Department" dataDxfId="2614"/>
    <tableColumn id="4" xr3:uid="{48D7C6AF-295A-4F1E-B003-13C59EB67846}" name="Country" dataDxfId="2613"/>
    <tableColumn id="5" xr3:uid="{368E2871-740C-42D1-B842-78F9454AD49F}" name="Salary" dataDxfId="2612"/>
    <tableColumn id="6" xr3:uid="{4894DEF3-0801-4BA5-9225-0F692FCDA08F}" name="Date of Joining" dataDxfId="2611"/>
    <tableColumn id="14" xr3:uid="{177F168C-7886-4DFF-A68B-507FD0E5F3AF}" name="Joined Month" dataDxfId="2610">
      <calculatedColumnFormula>TEXT(Table117[[#This Row],[Date of Joining]],"mmmm")</calculatedColumnFormula>
    </tableColumn>
    <tableColumn id="7" xr3:uid="{2BC3A108-53C4-4759-BE6E-A93C342B7A68}" name="Performance Rating" dataDxfId="2609"/>
    <tableColumn id="8" xr3:uid="{2A0604FD-AABC-4769-8EEA-154849A72860}" name="Gender" dataDxfId="2608"/>
    <tableColumn id="9" xr3:uid="{CC21DC59-02D0-48D0-AA38-883F7BF81BE2}" name="Email" dataDxfId="2607"/>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FC4005E-ECE5-4D68-A519-37959EF97A46}" name="Table5" displayName="Table5" ref="J2:Q152" totalsRowShown="0" headerRowDxfId="2606" dataDxfId="2604" headerRowBorderDxfId="2605" tableBorderDxfId="2603" totalsRowBorderDxfId="2602">
  <autoFilter ref="J2:Q152" xr:uid="{5FC4005E-ECE5-4D68-A519-37959EF97A46}"/>
  <tableColumns count="8">
    <tableColumn id="1" xr3:uid="{0EC14A86-6D46-4EEE-A1B6-9FAF67DE9731}" name="Column1" dataDxfId="2601"/>
    <tableColumn id="2" xr3:uid="{356BBF9E-5018-4D42-941C-CF6BF9A489EA}" name="Column2" dataDxfId="2600"/>
    <tableColumn id="3" xr3:uid="{06260F38-BABA-4D3F-9A41-744850362B97}" name="Column3" dataDxfId="2599"/>
    <tableColumn id="4" xr3:uid="{088AAE4D-56E5-4CE7-804E-F0A81E3DDD55}" name="Column4" dataDxfId="2598"/>
    <tableColumn id="5" xr3:uid="{E770BF87-5FB6-44DB-A408-F5EC5958C95A}" name="Column5" dataDxfId="2597"/>
    <tableColumn id="6" xr3:uid="{F2137B76-7BD0-4A49-8D75-861B6490DBE5}" name="Column6" dataDxfId="2596"/>
    <tableColumn id="7" xr3:uid="{E41F793C-585E-49D2-8542-7AF4D154FBBF}" name="Column7" dataDxfId="2595"/>
    <tableColumn id="8" xr3:uid="{4AD744EB-5DF4-4201-8A29-DA70BF00842B}" name="Column8" dataDxfId="2594"/>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5">
    <wetp:webextensionref xmlns:r="http://schemas.openxmlformats.org/officeDocument/2006/relationships" r:id="rId1"/>
  </wetp:taskpane>
  <wetp:taskpane dockstate="right" visibility="0" width="438" row="6">
    <wetp:webextensionref xmlns:r="http://schemas.openxmlformats.org/officeDocument/2006/relationships" r:id="rId2"/>
  </wetp:taskpane>
</wetp:taskpanes>
</file>

<file path=xl/webextensions/webextension1.xml><?xml version="1.0" encoding="utf-8"?>
<we:webextension xmlns:we="http://schemas.microsoft.com/office/webextensions/webextension/2010/11" id="{26760CC1-0309-417B-8BE9-9A606D6594F0}">
  <we:reference id="wa200005271" version="2.6.1.0" store="en-US" storeType="OMEX"/>
  <we:alternateReferences>
    <we:reference id="wa200005271" version="2.6.1.0" store="wa200005271" storeType="OMEX"/>
  </we:alternateReferences>
  <we:properties/>
  <we:bindings/>
  <we:snapshot xmlns:r="http://schemas.openxmlformats.org/officeDocument/2006/relationships"/>
  <we:extLs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s>_xldudf_AI_CHOICE</we:customFunctionIds>
      </we:customFunctionIdList>
    </a:ext>
  </we:extLst>
</we:webextension>
</file>

<file path=xl/webextensions/webextension2.xml><?xml version="1.0" encoding="utf-8"?>
<we:webextension xmlns:we="http://schemas.microsoft.com/office/webextensions/webextension/2010/11" id="{2015ED6D-670A-4446-94B0-D6B2DD52AA79}">
  <we:reference id="wa200005669" version="2.0.0.0" store="en-US" storeType="OMEX"/>
  <we:alternateReferences>
    <we:reference id="wa200005669" version="2.0.0.0" store="wa200005669"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8.xml"/></Relationships>
</file>

<file path=xl/worksheets/_rels/sheet8.xml.rels><?xml version="1.0" encoding="UTF-8" standalone="yes"?>
<Relationships xmlns="http://schemas.openxmlformats.org/package/2006/relationships"><Relationship Id="rId1" Type="http://schemas.openxmlformats.org/officeDocument/2006/relationships/table" Target="../tables/table9.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table" Target="../tables/table11.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5.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8.xml"/></Relationships>
</file>

<file path=xl/worksheets/_rels/sheet17.xml.rels><?xml version="1.0" encoding="UTF-8" standalone="yes"?>
<Relationships xmlns="http://schemas.openxmlformats.org/package/2006/relationships"><Relationship Id="rId3" Type="http://schemas.openxmlformats.org/officeDocument/2006/relationships/pivotTable" Target="../pivotTables/pivotTable11.xml"/><Relationship Id="rId2" Type="http://schemas.openxmlformats.org/officeDocument/2006/relationships/pivotTable" Target="../pivotTables/pivotTable10.xml"/><Relationship Id="rId1" Type="http://schemas.openxmlformats.org/officeDocument/2006/relationships/pivotTable" Target="../pivotTables/pivotTable9.xml"/><Relationship Id="rId4" Type="http://schemas.openxmlformats.org/officeDocument/2006/relationships/drawing" Target="../drawings/drawing2.xml"/></Relationships>
</file>

<file path=xl/worksheets/_rels/sheet18.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13.xml"/><Relationship Id="rId1" Type="http://schemas.openxmlformats.org/officeDocument/2006/relationships/pivotTable" Target="../pivotTables/pivotTable12.xml"/><Relationship Id="rId4" Type="http://schemas.microsoft.com/office/2007/relationships/slicer" Target="../slicers/slicer1.xml"/></Relationships>
</file>

<file path=xl/worksheets/_rels/sheet19.xml.rels><?xml version="1.0" encoding="UTF-8" standalone="yes"?>
<Relationships xmlns="http://schemas.openxmlformats.org/package/2006/relationships"><Relationship Id="rId3" Type="http://schemas.openxmlformats.org/officeDocument/2006/relationships/pivotTable" Target="../pivotTables/pivotTable16.xml"/><Relationship Id="rId2" Type="http://schemas.openxmlformats.org/officeDocument/2006/relationships/pivotTable" Target="../pivotTables/pivotTable15.xml"/><Relationship Id="rId1" Type="http://schemas.openxmlformats.org/officeDocument/2006/relationships/pivotTable" Target="../pivotTables/pivotTable14.xml"/><Relationship Id="rId6" Type="http://schemas.microsoft.com/office/2007/relationships/slicer" Target="../slicers/slicer2.xml"/><Relationship Id="rId5" Type="http://schemas.openxmlformats.org/officeDocument/2006/relationships/drawing" Target="../drawings/drawing4.xml"/><Relationship Id="rId4" Type="http://schemas.openxmlformats.org/officeDocument/2006/relationships/pivotTable" Target="../pivotTables/pivotTable1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F23A06-F194-419D-B11E-FBA499E1B3BA}">
  <dimension ref="A1:O152"/>
  <sheetViews>
    <sheetView tabSelected="1" topLeftCell="A33" workbookViewId="0">
      <selection activeCell="L145" sqref="L145"/>
    </sheetView>
  </sheetViews>
  <sheetFormatPr defaultRowHeight="14.4"/>
  <cols>
    <col min="1" max="1" width="14.33203125" style="5" customWidth="1"/>
    <col min="2" max="2" width="16" style="12" customWidth="1"/>
    <col min="3" max="3" width="14" style="12" customWidth="1"/>
    <col min="4" max="4" width="12.6640625" style="12" customWidth="1"/>
    <col min="5" max="5" width="11" style="16" customWidth="1"/>
    <col min="6" max="6" width="13.77734375" style="20" customWidth="1"/>
    <col min="7" max="7" width="17" style="25" customWidth="1"/>
    <col min="8" max="8" width="9" style="12" customWidth="1"/>
    <col min="9" max="9" width="27" style="5" customWidth="1"/>
  </cols>
  <sheetData>
    <row r="1" spans="1:15" ht="21">
      <c r="A1" s="174" t="s">
        <v>332</v>
      </c>
      <c r="B1" s="174"/>
      <c r="C1" s="174"/>
      <c r="D1" s="174"/>
      <c r="E1" s="174"/>
      <c r="F1" s="174"/>
      <c r="G1" s="174"/>
      <c r="H1" s="174"/>
      <c r="I1" s="174"/>
      <c r="J1" s="174"/>
      <c r="K1" s="174"/>
      <c r="L1" s="174"/>
      <c r="M1" s="174"/>
      <c r="N1" s="174"/>
      <c r="O1" s="174"/>
    </row>
    <row r="2" spans="1:15" ht="15" thickBot="1">
      <c r="A2" s="1" t="s">
        <v>0</v>
      </c>
      <c r="B2" s="8" t="s">
        <v>1</v>
      </c>
      <c r="C2" s="8" t="s">
        <v>2</v>
      </c>
      <c r="D2" s="8" t="s">
        <v>3</v>
      </c>
      <c r="E2" s="13" t="s">
        <v>4</v>
      </c>
      <c r="F2" s="17" t="s">
        <v>5</v>
      </c>
      <c r="G2" s="22" t="s">
        <v>6</v>
      </c>
      <c r="H2" s="21" t="s">
        <v>7</v>
      </c>
      <c r="I2" s="2" t="s">
        <v>8</v>
      </c>
    </row>
    <row r="3" spans="1:15" ht="15" thickBot="1">
      <c r="A3" s="3" t="s">
        <v>9</v>
      </c>
      <c r="B3" s="9"/>
      <c r="C3" s="9" t="s">
        <v>10</v>
      </c>
      <c r="D3" s="9"/>
      <c r="E3" s="14" t="s">
        <v>11</v>
      </c>
      <c r="F3" s="18"/>
      <c r="G3" s="23">
        <v>2</v>
      </c>
      <c r="H3" s="9" t="s">
        <v>12</v>
      </c>
      <c r="I3" s="6" t="s">
        <v>13</v>
      </c>
    </row>
    <row r="4" spans="1:15" ht="15" thickBot="1">
      <c r="A4" s="3" t="s">
        <v>14</v>
      </c>
      <c r="B4" s="9" t="s">
        <v>15</v>
      </c>
      <c r="C4" s="9" t="s">
        <v>16</v>
      </c>
      <c r="D4" s="9" t="s">
        <v>17</v>
      </c>
      <c r="E4" s="14">
        <v>54255</v>
      </c>
      <c r="F4" s="18">
        <v>42015</v>
      </c>
      <c r="G4" s="23">
        <v>1</v>
      </c>
      <c r="H4" s="9" t="s">
        <v>18</v>
      </c>
      <c r="I4" s="6" t="s">
        <v>19</v>
      </c>
    </row>
    <row r="5" spans="1:15" ht="15" thickBot="1">
      <c r="A5" s="3" t="s">
        <v>20</v>
      </c>
      <c r="B5" s="9" t="s">
        <v>21</v>
      </c>
      <c r="C5" s="9" t="s">
        <v>10</v>
      </c>
      <c r="D5" s="9" t="s">
        <v>17</v>
      </c>
      <c r="E5" s="14">
        <v>63184</v>
      </c>
      <c r="F5" s="18">
        <v>42022</v>
      </c>
      <c r="G5" s="23">
        <v>2</v>
      </c>
      <c r="H5" s="9"/>
      <c r="I5" s="6" t="s">
        <v>22</v>
      </c>
    </row>
    <row r="6" spans="1:15" ht="15" thickBot="1">
      <c r="A6" s="3" t="s">
        <v>23</v>
      </c>
      <c r="B6" s="9" t="s">
        <v>24</v>
      </c>
      <c r="C6" s="9" t="s">
        <v>25</v>
      </c>
      <c r="D6" s="9" t="s">
        <v>26</v>
      </c>
      <c r="E6" s="14">
        <v>94406</v>
      </c>
      <c r="F6" s="18">
        <v>42029</v>
      </c>
      <c r="G6" s="23">
        <v>1</v>
      </c>
      <c r="H6" s="9" t="s">
        <v>27</v>
      </c>
      <c r="I6" s="6" t="s">
        <v>28</v>
      </c>
    </row>
    <row r="7" spans="1:15" ht="15" thickBot="1">
      <c r="A7" s="3" t="s">
        <v>29</v>
      </c>
      <c r="B7" s="9" t="s">
        <v>30</v>
      </c>
      <c r="C7" s="9" t="s">
        <v>25</v>
      </c>
      <c r="D7" s="9" t="s">
        <v>17</v>
      </c>
      <c r="E7" s="14">
        <v>64120</v>
      </c>
      <c r="F7" s="18">
        <v>42036</v>
      </c>
      <c r="G7" s="23">
        <v>1</v>
      </c>
      <c r="H7" s="9" t="s">
        <v>27</v>
      </c>
      <c r="I7" s="6" t="s">
        <v>31</v>
      </c>
    </row>
    <row r="8" spans="1:15" ht="15" thickBot="1">
      <c r="A8" s="3" t="s">
        <v>32</v>
      </c>
      <c r="B8" s="9" t="s">
        <v>21</v>
      </c>
      <c r="C8" s="9" t="s">
        <v>33</v>
      </c>
      <c r="D8" s="9" t="s">
        <v>34</v>
      </c>
      <c r="E8" s="14">
        <v>78421</v>
      </c>
      <c r="F8" s="18">
        <v>42043</v>
      </c>
      <c r="G8" s="23">
        <v>2</v>
      </c>
      <c r="H8" s="9" t="s">
        <v>35</v>
      </c>
      <c r="I8" s="6" t="s">
        <v>36</v>
      </c>
    </row>
    <row r="9" spans="1:15" ht="15" thickBot="1">
      <c r="A9" s="3" t="s">
        <v>37</v>
      </c>
      <c r="B9" s="9" t="s">
        <v>38</v>
      </c>
      <c r="C9" s="9" t="s">
        <v>25</v>
      </c>
      <c r="D9" s="9"/>
      <c r="E9" s="14">
        <v>67721</v>
      </c>
      <c r="F9" s="18">
        <v>42050</v>
      </c>
      <c r="G9" s="23"/>
      <c r="H9" s="9" t="s">
        <v>27</v>
      </c>
      <c r="I9" s="6" t="s">
        <v>28</v>
      </c>
    </row>
    <row r="10" spans="1:15" ht="15" thickBot="1">
      <c r="A10" s="3" t="s">
        <v>39</v>
      </c>
      <c r="B10" s="9" t="s">
        <v>40</v>
      </c>
      <c r="C10" s="10" t="s">
        <v>41</v>
      </c>
      <c r="D10" s="9"/>
      <c r="E10" s="14">
        <v>35364</v>
      </c>
      <c r="F10" s="18">
        <v>42057</v>
      </c>
      <c r="G10" s="23">
        <v>2</v>
      </c>
      <c r="H10" s="9" t="s">
        <v>18</v>
      </c>
      <c r="I10" s="6" t="s">
        <v>42</v>
      </c>
    </row>
    <row r="11" spans="1:15" ht="15" thickBot="1">
      <c r="A11" s="3" t="s">
        <v>43</v>
      </c>
      <c r="B11" s="9" t="s">
        <v>21</v>
      </c>
      <c r="C11" s="9" t="s">
        <v>33</v>
      </c>
      <c r="D11" s="9" t="s">
        <v>17</v>
      </c>
      <c r="E11" s="14">
        <v>97881</v>
      </c>
      <c r="F11" s="18">
        <v>42064</v>
      </c>
      <c r="G11" s="23"/>
      <c r="H11" s="9" t="s">
        <v>35</v>
      </c>
      <c r="I11" s="6" t="s">
        <v>44</v>
      </c>
    </row>
    <row r="12" spans="1:15" ht="15" thickBot="1">
      <c r="A12" s="3" t="s">
        <v>45</v>
      </c>
      <c r="B12" s="9" t="s">
        <v>40</v>
      </c>
      <c r="C12" s="9" t="s">
        <v>16</v>
      </c>
      <c r="D12" s="9" t="s">
        <v>46</v>
      </c>
      <c r="E12" s="14">
        <v>91846</v>
      </c>
      <c r="F12" s="18">
        <v>42071</v>
      </c>
      <c r="G12" s="23"/>
      <c r="H12" s="9" t="s">
        <v>27</v>
      </c>
      <c r="I12" s="6" t="s">
        <v>47</v>
      </c>
    </row>
    <row r="13" spans="1:15" ht="15" thickBot="1">
      <c r="A13" s="3" t="s">
        <v>48</v>
      </c>
      <c r="B13" s="9" t="s">
        <v>38</v>
      </c>
      <c r="C13" s="9" t="s">
        <v>10</v>
      </c>
      <c r="D13" s="9" t="s">
        <v>46</v>
      </c>
      <c r="E13" s="14">
        <v>64247</v>
      </c>
      <c r="F13" s="18">
        <v>42078</v>
      </c>
      <c r="G13" s="23">
        <v>1</v>
      </c>
      <c r="H13" s="9" t="s">
        <v>35</v>
      </c>
      <c r="I13" s="6" t="s">
        <v>49</v>
      </c>
    </row>
    <row r="14" spans="1:15" ht="15" thickBot="1">
      <c r="A14" s="3" t="s">
        <v>50</v>
      </c>
      <c r="B14" s="9" t="s">
        <v>38</v>
      </c>
      <c r="C14" s="9" t="s">
        <v>33</v>
      </c>
      <c r="D14" s="9" t="s">
        <v>26</v>
      </c>
      <c r="E14" s="14">
        <v>91180</v>
      </c>
      <c r="F14" s="18">
        <v>42085</v>
      </c>
      <c r="G14" s="23">
        <v>5</v>
      </c>
      <c r="H14" s="9" t="s">
        <v>27</v>
      </c>
      <c r="I14" s="6" t="s">
        <v>51</v>
      </c>
    </row>
    <row r="15" spans="1:15" ht="15" thickBot="1">
      <c r="A15" s="3" t="s">
        <v>52</v>
      </c>
      <c r="B15" s="9" t="s">
        <v>53</v>
      </c>
      <c r="C15" s="9" t="s">
        <v>25</v>
      </c>
      <c r="D15" s="9"/>
      <c r="E15" s="14">
        <v>96418</v>
      </c>
      <c r="F15" s="18">
        <v>42092</v>
      </c>
      <c r="G15" s="23">
        <v>5</v>
      </c>
      <c r="H15" s="9" t="s">
        <v>27</v>
      </c>
      <c r="I15" s="6" t="s">
        <v>19</v>
      </c>
    </row>
    <row r="16" spans="1:15" ht="15" thickBot="1">
      <c r="A16" s="3" t="s">
        <v>54</v>
      </c>
      <c r="B16" s="10" t="s">
        <v>38</v>
      </c>
      <c r="C16" s="9"/>
      <c r="D16" s="9" t="s">
        <v>34</v>
      </c>
      <c r="E16" s="14">
        <v>62158</v>
      </c>
      <c r="F16" s="18">
        <v>42099</v>
      </c>
      <c r="G16" s="23">
        <v>4</v>
      </c>
      <c r="H16" s="9"/>
      <c r="I16" s="6" t="s">
        <v>55</v>
      </c>
    </row>
    <row r="17" spans="1:9" ht="15" thickBot="1">
      <c r="A17" s="3" t="s">
        <v>56</v>
      </c>
      <c r="B17" s="9" t="s">
        <v>30</v>
      </c>
      <c r="C17" s="9" t="s">
        <v>16</v>
      </c>
      <c r="D17" s="9"/>
      <c r="E17" s="14">
        <v>59894</v>
      </c>
      <c r="F17" s="18">
        <v>42106</v>
      </c>
      <c r="G17" s="23">
        <v>2</v>
      </c>
      <c r="H17" s="9" t="s">
        <v>27</v>
      </c>
      <c r="I17" s="6" t="s">
        <v>57</v>
      </c>
    </row>
    <row r="18" spans="1:9" ht="15" thickBot="1">
      <c r="A18" s="3" t="s">
        <v>58</v>
      </c>
      <c r="B18" s="9"/>
      <c r="C18" s="9" t="s">
        <v>33</v>
      </c>
      <c r="D18" s="9" t="s">
        <v>34</v>
      </c>
      <c r="E18" s="14">
        <v>92443</v>
      </c>
      <c r="F18" s="18">
        <v>42113</v>
      </c>
      <c r="G18" s="23">
        <v>3</v>
      </c>
      <c r="H18" s="9" t="s">
        <v>18</v>
      </c>
      <c r="I18" s="6" t="s">
        <v>59</v>
      </c>
    </row>
    <row r="19" spans="1:9" ht="15" thickBot="1">
      <c r="A19" s="3" t="s">
        <v>60</v>
      </c>
      <c r="B19" s="10" t="s">
        <v>53</v>
      </c>
      <c r="C19" s="9"/>
      <c r="D19" s="9" t="s">
        <v>17</v>
      </c>
      <c r="E19" s="14">
        <v>90271</v>
      </c>
      <c r="F19" s="18">
        <v>42120</v>
      </c>
      <c r="G19" s="23"/>
      <c r="H19" s="9"/>
      <c r="I19" s="6" t="s">
        <v>61</v>
      </c>
    </row>
    <row r="20" spans="1:9" ht="15" thickBot="1">
      <c r="A20" s="3" t="s">
        <v>62</v>
      </c>
      <c r="B20" s="9" t="s">
        <v>30</v>
      </c>
      <c r="C20" s="9" t="s">
        <v>10</v>
      </c>
      <c r="D20" s="9" t="s">
        <v>63</v>
      </c>
      <c r="E20" s="14">
        <v>41341</v>
      </c>
      <c r="F20" s="18">
        <v>42127</v>
      </c>
      <c r="G20" s="23">
        <v>1</v>
      </c>
      <c r="H20" s="9" t="s">
        <v>18</v>
      </c>
      <c r="I20" s="6" t="s">
        <v>64</v>
      </c>
    </row>
    <row r="21" spans="1:9" ht="15" thickBot="1">
      <c r="A21" s="3" t="s">
        <v>65</v>
      </c>
      <c r="B21" s="9" t="s">
        <v>21</v>
      </c>
      <c r="C21" s="9" t="s">
        <v>10</v>
      </c>
      <c r="D21" s="9" t="s">
        <v>46</v>
      </c>
      <c r="E21" s="14">
        <v>73602</v>
      </c>
      <c r="F21" s="18">
        <v>42134</v>
      </c>
      <c r="G21" s="23"/>
      <c r="H21" s="9"/>
      <c r="I21" s="6" t="s">
        <v>66</v>
      </c>
    </row>
    <row r="22" spans="1:9" ht="15" thickBot="1">
      <c r="A22" s="3" t="s">
        <v>67</v>
      </c>
      <c r="B22" s="10" t="s">
        <v>15</v>
      </c>
      <c r="C22" s="9"/>
      <c r="D22" s="9" t="s">
        <v>34</v>
      </c>
      <c r="E22" s="14">
        <v>67531</v>
      </c>
      <c r="F22" s="18">
        <v>42141</v>
      </c>
      <c r="G22" s="23">
        <v>5</v>
      </c>
      <c r="H22" s="9" t="s">
        <v>35</v>
      </c>
      <c r="I22" s="6" t="s">
        <v>68</v>
      </c>
    </row>
    <row r="23" spans="1:9" ht="15" thickBot="1">
      <c r="A23" s="3" t="s">
        <v>69</v>
      </c>
      <c r="B23" s="9" t="s">
        <v>30</v>
      </c>
      <c r="C23" s="9" t="s">
        <v>16</v>
      </c>
      <c r="D23" s="9" t="s">
        <v>26</v>
      </c>
      <c r="E23" s="14" t="s">
        <v>11</v>
      </c>
      <c r="F23" s="18">
        <v>42148</v>
      </c>
      <c r="G23" s="23">
        <v>2</v>
      </c>
      <c r="H23" s="9" t="s">
        <v>18</v>
      </c>
      <c r="I23" s="6" t="s">
        <v>70</v>
      </c>
    </row>
    <row r="24" spans="1:9" ht="15" thickBot="1">
      <c r="A24" s="3" t="s">
        <v>71</v>
      </c>
      <c r="B24" s="9" t="s">
        <v>30</v>
      </c>
      <c r="C24" s="9" t="s">
        <v>16</v>
      </c>
      <c r="D24" s="9"/>
      <c r="E24" s="14">
        <v>98922</v>
      </c>
      <c r="F24" s="18">
        <v>42155</v>
      </c>
      <c r="G24" s="23">
        <v>4</v>
      </c>
      <c r="H24" s="9"/>
      <c r="I24" s="6" t="s">
        <v>72</v>
      </c>
    </row>
    <row r="25" spans="1:9" ht="15" thickBot="1">
      <c r="A25" s="3" t="s">
        <v>73</v>
      </c>
      <c r="B25" s="9" t="s">
        <v>15</v>
      </c>
      <c r="C25" s="9" t="s">
        <v>10</v>
      </c>
      <c r="D25" s="9" t="s">
        <v>34</v>
      </c>
      <c r="E25" s="14">
        <v>38333</v>
      </c>
      <c r="F25" s="18">
        <v>42162</v>
      </c>
      <c r="G25" s="23">
        <v>5</v>
      </c>
      <c r="H25" s="9"/>
      <c r="I25" s="6" t="s">
        <v>74</v>
      </c>
    </row>
    <row r="26" spans="1:9" ht="15" thickBot="1">
      <c r="A26" s="3" t="s">
        <v>75</v>
      </c>
      <c r="B26" s="9" t="s">
        <v>21</v>
      </c>
      <c r="C26" s="9" t="s">
        <v>41</v>
      </c>
      <c r="D26" s="9" t="s">
        <v>46</v>
      </c>
      <c r="E26" s="14">
        <v>36515</v>
      </c>
      <c r="F26" s="18">
        <v>42169</v>
      </c>
      <c r="G26" s="23">
        <v>3</v>
      </c>
      <c r="H26" s="9" t="s">
        <v>27</v>
      </c>
      <c r="I26" s="6" t="s">
        <v>76</v>
      </c>
    </row>
    <row r="27" spans="1:9" ht="15" thickBot="1">
      <c r="A27" s="3" t="s">
        <v>77</v>
      </c>
      <c r="B27" s="9" t="s">
        <v>38</v>
      </c>
      <c r="C27" s="9" t="s">
        <v>10</v>
      </c>
      <c r="D27" s="9"/>
      <c r="E27" s="14">
        <v>91005</v>
      </c>
      <c r="F27" s="18">
        <v>42176</v>
      </c>
      <c r="G27" s="23">
        <v>1</v>
      </c>
      <c r="H27" s="9" t="s">
        <v>18</v>
      </c>
      <c r="I27" s="6" t="s">
        <v>78</v>
      </c>
    </row>
    <row r="28" spans="1:9" ht="15" thickBot="1">
      <c r="A28" s="3" t="s">
        <v>79</v>
      </c>
      <c r="B28" s="9" t="s">
        <v>40</v>
      </c>
      <c r="C28" s="9"/>
      <c r="D28" s="9"/>
      <c r="E28" s="14">
        <v>52272</v>
      </c>
      <c r="F28" s="18">
        <v>42183</v>
      </c>
      <c r="G28" s="23">
        <v>3</v>
      </c>
      <c r="H28" s="9"/>
      <c r="I28" s="6" t="s">
        <v>80</v>
      </c>
    </row>
    <row r="29" spans="1:9" ht="15" thickBot="1">
      <c r="A29" s="3" t="s">
        <v>81</v>
      </c>
      <c r="B29" s="9" t="s">
        <v>15</v>
      </c>
      <c r="C29" s="9" t="s">
        <v>25</v>
      </c>
      <c r="D29" s="9" t="s">
        <v>17</v>
      </c>
      <c r="E29" s="14">
        <v>76518</v>
      </c>
      <c r="F29" s="18">
        <v>42190</v>
      </c>
      <c r="G29" s="23">
        <v>2</v>
      </c>
      <c r="H29" s="9" t="s">
        <v>35</v>
      </c>
      <c r="I29" s="6" t="s">
        <v>82</v>
      </c>
    </row>
    <row r="30" spans="1:9" ht="15" thickBot="1">
      <c r="A30" s="3" t="s">
        <v>83</v>
      </c>
      <c r="B30" s="9" t="s">
        <v>21</v>
      </c>
      <c r="C30" s="9" t="s">
        <v>33</v>
      </c>
      <c r="D30" s="9" t="s">
        <v>46</v>
      </c>
      <c r="E30" s="14">
        <v>41448</v>
      </c>
      <c r="F30" s="18">
        <v>42197</v>
      </c>
      <c r="G30" s="23">
        <v>3</v>
      </c>
      <c r="H30" s="9" t="s">
        <v>18</v>
      </c>
      <c r="I30" s="6" t="s">
        <v>84</v>
      </c>
    </row>
    <row r="31" spans="1:9" ht="15" thickBot="1">
      <c r="A31" s="3" t="s">
        <v>85</v>
      </c>
      <c r="B31" s="9" t="s">
        <v>24</v>
      </c>
      <c r="C31" s="9" t="s">
        <v>16</v>
      </c>
      <c r="D31" s="9" t="s">
        <v>46</v>
      </c>
      <c r="E31" s="14">
        <v>49282</v>
      </c>
      <c r="F31" s="18">
        <v>42204</v>
      </c>
      <c r="G31" s="23">
        <v>2</v>
      </c>
      <c r="H31" s="9" t="s">
        <v>35</v>
      </c>
      <c r="I31" s="6" t="s">
        <v>86</v>
      </c>
    </row>
    <row r="32" spans="1:9" ht="15" thickBot="1">
      <c r="A32" s="3" t="s">
        <v>87</v>
      </c>
      <c r="B32" s="9" t="s">
        <v>53</v>
      </c>
      <c r="C32" s="9" t="s">
        <v>41</v>
      </c>
      <c r="D32" s="9" t="s">
        <v>46</v>
      </c>
      <c r="E32" s="14">
        <v>92959</v>
      </c>
      <c r="F32" s="18">
        <v>42211</v>
      </c>
      <c r="G32" s="23">
        <v>5</v>
      </c>
      <c r="H32" s="9"/>
      <c r="I32" s="6" t="s">
        <v>88</v>
      </c>
    </row>
    <row r="33" spans="1:9" ht="15" thickBot="1">
      <c r="A33" s="3" t="s">
        <v>89</v>
      </c>
      <c r="B33" s="9"/>
      <c r="C33" s="10" t="s">
        <v>41</v>
      </c>
      <c r="D33" s="9"/>
      <c r="E33" s="14">
        <v>92259</v>
      </c>
      <c r="F33" s="18"/>
      <c r="G33" s="23">
        <v>1</v>
      </c>
      <c r="H33" s="9" t="s">
        <v>12</v>
      </c>
      <c r="I33" s="6" t="s">
        <v>90</v>
      </c>
    </row>
    <row r="34" spans="1:9" ht="15" thickBot="1">
      <c r="A34" s="3" t="s">
        <v>91</v>
      </c>
      <c r="B34" s="9" t="s">
        <v>15</v>
      </c>
      <c r="C34" s="9" t="s">
        <v>16</v>
      </c>
      <c r="D34" s="9" t="s">
        <v>17</v>
      </c>
      <c r="E34" s="14">
        <v>92299</v>
      </c>
      <c r="F34" s="18">
        <v>42225</v>
      </c>
      <c r="G34" s="23">
        <v>3</v>
      </c>
      <c r="H34" s="9" t="s">
        <v>27</v>
      </c>
      <c r="I34" s="6" t="s">
        <v>92</v>
      </c>
    </row>
    <row r="35" spans="1:9" ht="15" thickBot="1">
      <c r="A35" s="3" t="s">
        <v>93</v>
      </c>
      <c r="B35" s="9" t="s">
        <v>38</v>
      </c>
      <c r="C35" s="9" t="s">
        <v>16</v>
      </c>
      <c r="D35" s="9"/>
      <c r="E35" s="14">
        <v>95586</v>
      </c>
      <c r="F35" s="18">
        <v>42232</v>
      </c>
      <c r="G35" s="23">
        <v>3</v>
      </c>
      <c r="H35" s="9" t="s">
        <v>18</v>
      </c>
      <c r="I35" s="6" t="s">
        <v>94</v>
      </c>
    </row>
    <row r="36" spans="1:9" ht="15" thickBot="1">
      <c r="A36" s="3" t="s">
        <v>95</v>
      </c>
      <c r="B36" s="9" t="s">
        <v>40</v>
      </c>
      <c r="C36" s="9"/>
      <c r="D36" s="9" t="s">
        <v>26</v>
      </c>
      <c r="E36" s="14">
        <v>95367</v>
      </c>
      <c r="F36" s="18">
        <v>42239</v>
      </c>
      <c r="G36" s="23"/>
      <c r="H36" s="9" t="s">
        <v>27</v>
      </c>
      <c r="I36" s="6" t="s">
        <v>96</v>
      </c>
    </row>
    <row r="37" spans="1:9" ht="15" thickBot="1">
      <c r="A37" s="3" t="s">
        <v>97</v>
      </c>
      <c r="B37" s="9" t="s">
        <v>24</v>
      </c>
      <c r="C37" s="9" t="s">
        <v>25</v>
      </c>
      <c r="D37" s="9" t="s">
        <v>63</v>
      </c>
      <c r="E37" s="14">
        <v>79549</v>
      </c>
      <c r="F37" s="18">
        <v>42246</v>
      </c>
      <c r="G37" s="23">
        <v>3</v>
      </c>
      <c r="H37" s="9"/>
      <c r="I37" s="6" t="s">
        <v>98</v>
      </c>
    </row>
    <row r="38" spans="1:9" ht="15" thickBot="1">
      <c r="A38" s="3" t="s">
        <v>99</v>
      </c>
      <c r="B38" s="10" t="s">
        <v>21</v>
      </c>
      <c r="C38" s="9"/>
      <c r="D38" s="9" t="s">
        <v>46</v>
      </c>
      <c r="E38" s="14">
        <v>54463</v>
      </c>
      <c r="F38" s="18">
        <v>42253</v>
      </c>
      <c r="G38" s="23">
        <v>4</v>
      </c>
      <c r="H38" s="9" t="s">
        <v>27</v>
      </c>
      <c r="I38" s="6" t="s">
        <v>13</v>
      </c>
    </row>
    <row r="39" spans="1:9" ht="15" thickBot="1">
      <c r="A39" s="3" t="s">
        <v>100</v>
      </c>
      <c r="B39" s="9" t="s">
        <v>21</v>
      </c>
      <c r="C39" s="9" t="s">
        <v>33</v>
      </c>
      <c r="D39" s="9" t="s">
        <v>26</v>
      </c>
      <c r="E39" s="14">
        <v>89781</v>
      </c>
      <c r="F39" s="18">
        <v>42260</v>
      </c>
      <c r="G39" s="23"/>
      <c r="H39" s="9" t="s">
        <v>35</v>
      </c>
      <c r="I39" s="6" t="s">
        <v>101</v>
      </c>
    </row>
    <row r="40" spans="1:9" ht="15" thickBot="1">
      <c r="A40" s="3" t="s">
        <v>102</v>
      </c>
      <c r="B40" s="9" t="s">
        <v>21</v>
      </c>
      <c r="C40" s="9" t="s">
        <v>16</v>
      </c>
      <c r="D40" s="9"/>
      <c r="E40" s="14">
        <v>64796</v>
      </c>
      <c r="F40" s="18">
        <v>42267</v>
      </c>
      <c r="G40" s="23"/>
      <c r="H40" s="9" t="s">
        <v>18</v>
      </c>
      <c r="I40" s="6" t="s">
        <v>103</v>
      </c>
    </row>
    <row r="41" spans="1:9" ht="15" thickBot="1">
      <c r="A41" s="3" t="s">
        <v>104</v>
      </c>
      <c r="B41" s="9" t="s">
        <v>24</v>
      </c>
      <c r="C41" s="9" t="s">
        <v>41</v>
      </c>
      <c r="D41" s="9" t="s">
        <v>46</v>
      </c>
      <c r="E41" s="14">
        <v>52093</v>
      </c>
      <c r="F41" s="18">
        <v>42274</v>
      </c>
      <c r="G41" s="23">
        <v>5</v>
      </c>
      <c r="H41" s="9"/>
      <c r="I41" s="6" t="s">
        <v>105</v>
      </c>
    </row>
    <row r="42" spans="1:9" ht="15" thickBot="1">
      <c r="A42" s="3" t="s">
        <v>106</v>
      </c>
      <c r="B42" s="9" t="s">
        <v>40</v>
      </c>
      <c r="C42" s="9" t="s">
        <v>16</v>
      </c>
      <c r="D42" s="9" t="s">
        <v>46</v>
      </c>
      <c r="E42" s="14">
        <v>48224</v>
      </c>
      <c r="F42" s="18">
        <v>42281</v>
      </c>
      <c r="G42" s="23">
        <v>3</v>
      </c>
      <c r="H42" s="9"/>
      <c r="I42" s="6" t="s">
        <v>107</v>
      </c>
    </row>
    <row r="43" spans="1:9" ht="15" thickBot="1">
      <c r="A43" s="3" t="s">
        <v>108</v>
      </c>
      <c r="B43" s="9" t="s">
        <v>53</v>
      </c>
      <c r="C43" s="9" t="s">
        <v>10</v>
      </c>
      <c r="D43" s="9" t="s">
        <v>46</v>
      </c>
      <c r="E43" s="14" t="s">
        <v>11</v>
      </c>
      <c r="F43" s="18"/>
      <c r="G43" s="23">
        <v>4</v>
      </c>
      <c r="H43" s="9" t="s">
        <v>35</v>
      </c>
      <c r="I43" s="6" t="s">
        <v>109</v>
      </c>
    </row>
    <row r="44" spans="1:9" ht="15" thickBot="1">
      <c r="A44" s="3" t="s">
        <v>110</v>
      </c>
      <c r="B44" s="9" t="s">
        <v>21</v>
      </c>
      <c r="C44" s="9" t="s">
        <v>33</v>
      </c>
      <c r="D44" s="9" t="s">
        <v>17</v>
      </c>
      <c r="E44" s="14">
        <v>33956</v>
      </c>
      <c r="F44" s="18">
        <v>42295</v>
      </c>
      <c r="G44" s="23"/>
      <c r="H44" s="9"/>
      <c r="I44" s="6" t="s">
        <v>111</v>
      </c>
    </row>
    <row r="45" spans="1:9" ht="15" thickBot="1">
      <c r="A45" s="3" t="s">
        <v>112</v>
      </c>
      <c r="B45" s="10" t="s">
        <v>53</v>
      </c>
      <c r="C45" s="9"/>
      <c r="D45" s="9" t="s">
        <v>63</v>
      </c>
      <c r="E45" s="14">
        <v>64913</v>
      </c>
      <c r="F45" s="18">
        <v>42302</v>
      </c>
      <c r="G45" s="23">
        <v>1</v>
      </c>
      <c r="H45" s="9" t="s">
        <v>35</v>
      </c>
      <c r="I45" s="6" t="s">
        <v>113</v>
      </c>
    </row>
    <row r="46" spans="1:9" ht="15" thickBot="1">
      <c r="A46" s="3" t="s">
        <v>114</v>
      </c>
      <c r="B46" s="9" t="s">
        <v>21</v>
      </c>
      <c r="C46" s="9" t="s">
        <v>41</v>
      </c>
      <c r="D46" s="9" t="s">
        <v>63</v>
      </c>
      <c r="E46" s="14">
        <v>35326</v>
      </c>
      <c r="F46" s="18">
        <v>42309</v>
      </c>
      <c r="G46" s="23"/>
      <c r="H46" s="9" t="s">
        <v>35</v>
      </c>
      <c r="I46" s="6" t="s">
        <v>115</v>
      </c>
    </row>
    <row r="47" spans="1:9" ht="15" thickBot="1">
      <c r="A47" s="3" t="s">
        <v>116</v>
      </c>
      <c r="B47" s="9" t="s">
        <v>40</v>
      </c>
      <c r="C47" s="9" t="s">
        <v>10</v>
      </c>
      <c r="D47" s="9"/>
      <c r="E47" s="14">
        <v>81610</v>
      </c>
      <c r="F47" s="18">
        <v>42316</v>
      </c>
      <c r="G47" s="23">
        <v>1</v>
      </c>
      <c r="H47" s="9"/>
      <c r="I47" s="6" t="s">
        <v>117</v>
      </c>
    </row>
    <row r="48" spans="1:9" ht="15" thickBot="1">
      <c r="A48" s="3" t="s">
        <v>118</v>
      </c>
      <c r="B48" s="9"/>
      <c r="C48" s="9" t="s">
        <v>16</v>
      </c>
      <c r="D48" s="9"/>
      <c r="E48" s="14">
        <v>58962</v>
      </c>
      <c r="F48" s="18">
        <v>42323</v>
      </c>
      <c r="G48" s="23">
        <v>3</v>
      </c>
      <c r="H48" s="9" t="s">
        <v>18</v>
      </c>
      <c r="I48" s="6" t="s">
        <v>19</v>
      </c>
    </row>
    <row r="49" spans="1:9" ht="15" thickBot="1">
      <c r="A49" s="3" t="s">
        <v>119</v>
      </c>
      <c r="B49" s="9" t="s">
        <v>40</v>
      </c>
      <c r="C49" s="9" t="s">
        <v>33</v>
      </c>
      <c r="D49" s="9" t="s">
        <v>17</v>
      </c>
      <c r="E49" s="14">
        <v>92701</v>
      </c>
      <c r="F49" s="18">
        <v>42330</v>
      </c>
      <c r="G49" s="23">
        <v>3</v>
      </c>
      <c r="H49" s="9" t="s">
        <v>18</v>
      </c>
      <c r="I49" s="6" t="s">
        <v>120</v>
      </c>
    </row>
    <row r="50" spans="1:9" ht="15" thickBot="1">
      <c r="A50" s="3" t="s">
        <v>121</v>
      </c>
      <c r="B50" s="9" t="s">
        <v>40</v>
      </c>
      <c r="C50" s="9" t="s">
        <v>16</v>
      </c>
      <c r="D50" s="9" t="s">
        <v>34</v>
      </c>
      <c r="E50" s="14">
        <v>58245</v>
      </c>
      <c r="F50" s="18">
        <v>42337</v>
      </c>
      <c r="G50" s="23">
        <v>4</v>
      </c>
      <c r="H50" s="9"/>
      <c r="I50" s="6" t="s">
        <v>122</v>
      </c>
    </row>
    <row r="51" spans="1:9" ht="15" thickBot="1">
      <c r="A51" s="3" t="s">
        <v>123</v>
      </c>
      <c r="B51" s="9" t="s">
        <v>24</v>
      </c>
      <c r="C51" s="9" t="s">
        <v>10</v>
      </c>
      <c r="D51" s="9"/>
      <c r="E51" s="14">
        <v>66513</v>
      </c>
      <c r="F51" s="18">
        <v>42344</v>
      </c>
      <c r="G51" s="23">
        <v>2</v>
      </c>
      <c r="H51" s="9" t="s">
        <v>18</v>
      </c>
      <c r="I51" s="6" t="s">
        <v>36</v>
      </c>
    </row>
    <row r="52" spans="1:9" ht="15" thickBot="1">
      <c r="A52" s="3" t="s">
        <v>124</v>
      </c>
      <c r="B52" s="9" t="s">
        <v>15</v>
      </c>
      <c r="C52" s="9" t="s">
        <v>16</v>
      </c>
      <c r="D52" s="9" t="s">
        <v>17</v>
      </c>
      <c r="E52" s="14">
        <v>78720</v>
      </c>
      <c r="F52" s="18">
        <v>42351</v>
      </c>
      <c r="G52" s="23">
        <v>5</v>
      </c>
      <c r="H52" s="9" t="s">
        <v>35</v>
      </c>
      <c r="I52" s="6" t="s">
        <v>109</v>
      </c>
    </row>
    <row r="53" spans="1:9" ht="15" thickBot="1">
      <c r="A53" s="3" t="s">
        <v>125</v>
      </c>
      <c r="B53" s="9" t="s">
        <v>40</v>
      </c>
      <c r="C53" s="9"/>
      <c r="D53" s="9"/>
      <c r="E53" s="14">
        <v>30686</v>
      </c>
      <c r="F53" s="18"/>
      <c r="G53" s="23">
        <v>2</v>
      </c>
      <c r="H53" s="9" t="s">
        <v>35</v>
      </c>
      <c r="I53" s="6" t="s">
        <v>126</v>
      </c>
    </row>
    <row r="54" spans="1:9" ht="15" thickBot="1">
      <c r="A54" s="3" t="s">
        <v>127</v>
      </c>
      <c r="B54" s="9" t="s">
        <v>38</v>
      </c>
      <c r="C54" s="9" t="s">
        <v>25</v>
      </c>
      <c r="D54" s="9" t="s">
        <v>34</v>
      </c>
      <c r="E54" s="14">
        <v>39423</v>
      </c>
      <c r="F54" s="18">
        <v>42365</v>
      </c>
      <c r="G54" s="23">
        <v>5</v>
      </c>
      <c r="H54" s="9"/>
      <c r="I54" s="6" t="s">
        <v>128</v>
      </c>
    </row>
    <row r="55" spans="1:9" ht="15" thickBot="1">
      <c r="A55" s="3" t="s">
        <v>129</v>
      </c>
      <c r="B55" s="9" t="s">
        <v>15</v>
      </c>
      <c r="C55" s="10" t="s">
        <v>41</v>
      </c>
      <c r="D55" s="9"/>
      <c r="E55" s="14">
        <v>30280</v>
      </c>
      <c r="F55" s="18">
        <v>42372</v>
      </c>
      <c r="G55" s="23">
        <v>1</v>
      </c>
      <c r="H55" s="9"/>
      <c r="I55" s="6" t="s">
        <v>130</v>
      </c>
    </row>
    <row r="56" spans="1:9" ht="15" thickBot="1">
      <c r="A56" s="3" t="s">
        <v>131</v>
      </c>
      <c r="B56" s="9" t="s">
        <v>15</v>
      </c>
      <c r="C56" s="9" t="s">
        <v>10</v>
      </c>
      <c r="D56" s="9" t="s">
        <v>46</v>
      </c>
      <c r="E56" s="14">
        <v>33352</v>
      </c>
      <c r="F56" s="18">
        <v>42379</v>
      </c>
      <c r="G56" s="23">
        <v>3</v>
      </c>
      <c r="H56" s="9" t="s">
        <v>35</v>
      </c>
      <c r="I56" s="6" t="s">
        <v>70</v>
      </c>
    </row>
    <row r="57" spans="1:9" ht="15" thickBot="1">
      <c r="A57" s="3" t="s">
        <v>132</v>
      </c>
      <c r="B57" s="9" t="s">
        <v>53</v>
      </c>
      <c r="C57" s="9" t="s">
        <v>41</v>
      </c>
      <c r="D57" s="9" t="s">
        <v>46</v>
      </c>
      <c r="E57" s="14">
        <v>75633</v>
      </c>
      <c r="F57" s="18">
        <v>42386</v>
      </c>
      <c r="G57" s="23">
        <v>5</v>
      </c>
      <c r="H57" s="9" t="s">
        <v>18</v>
      </c>
      <c r="I57" s="6" t="s">
        <v>133</v>
      </c>
    </row>
    <row r="58" spans="1:9" ht="15" thickBot="1">
      <c r="A58" s="3" t="s">
        <v>134</v>
      </c>
      <c r="B58" s="9" t="s">
        <v>40</v>
      </c>
      <c r="C58" s="9"/>
      <c r="D58" s="9" t="s">
        <v>26</v>
      </c>
      <c r="E58" s="14">
        <v>74815</v>
      </c>
      <c r="F58" s="18">
        <v>42393</v>
      </c>
      <c r="G58" s="23">
        <v>5</v>
      </c>
      <c r="H58" s="9" t="s">
        <v>35</v>
      </c>
      <c r="I58" s="6" t="s">
        <v>135</v>
      </c>
    </row>
    <row r="59" spans="1:9" ht="15" thickBot="1">
      <c r="A59" s="3" t="s">
        <v>136</v>
      </c>
      <c r="B59" s="9" t="s">
        <v>24</v>
      </c>
      <c r="C59" s="9" t="s">
        <v>25</v>
      </c>
      <c r="D59" s="9" t="s">
        <v>63</v>
      </c>
      <c r="E59" s="14">
        <v>60011</v>
      </c>
      <c r="F59" s="18">
        <v>42400</v>
      </c>
      <c r="G59" s="23">
        <v>1</v>
      </c>
      <c r="H59" s="9" t="s">
        <v>27</v>
      </c>
      <c r="I59" s="6" t="s">
        <v>137</v>
      </c>
    </row>
    <row r="60" spans="1:9" ht="15" thickBot="1">
      <c r="A60" s="3" t="s">
        <v>138</v>
      </c>
      <c r="B60" s="10" t="s">
        <v>15</v>
      </c>
      <c r="C60" s="9"/>
      <c r="D60" s="9" t="s">
        <v>34</v>
      </c>
      <c r="E60" s="14">
        <v>96949</v>
      </c>
      <c r="F60" s="18">
        <v>42407</v>
      </c>
      <c r="G60" s="23">
        <v>3</v>
      </c>
      <c r="H60" s="9"/>
      <c r="I60" s="6" t="s">
        <v>84</v>
      </c>
    </row>
    <row r="61" spans="1:9" ht="15" thickBot="1">
      <c r="A61" s="3" t="s">
        <v>139</v>
      </c>
      <c r="B61" s="9" t="s">
        <v>38</v>
      </c>
      <c r="C61" s="10" t="s">
        <v>41</v>
      </c>
      <c r="D61" s="9"/>
      <c r="E61" s="14">
        <v>84924</v>
      </c>
      <c r="F61" s="18">
        <v>42414</v>
      </c>
      <c r="G61" s="23">
        <v>5</v>
      </c>
      <c r="H61" s="9" t="s">
        <v>27</v>
      </c>
      <c r="I61" s="6" t="s">
        <v>140</v>
      </c>
    </row>
    <row r="62" spans="1:9" ht="15" thickBot="1">
      <c r="A62" s="3" t="s">
        <v>141</v>
      </c>
      <c r="B62" s="9" t="s">
        <v>38</v>
      </c>
      <c r="C62" s="9" t="s">
        <v>10</v>
      </c>
      <c r="D62" s="9" t="s">
        <v>26</v>
      </c>
      <c r="E62" s="14">
        <v>82033</v>
      </c>
      <c r="F62" s="18">
        <v>42421</v>
      </c>
      <c r="G62" s="23">
        <v>1</v>
      </c>
      <c r="H62" s="9"/>
      <c r="I62" s="6" t="s">
        <v>117</v>
      </c>
    </row>
    <row r="63" spans="1:9" ht="15" thickBot="1">
      <c r="A63" s="3" t="s">
        <v>142</v>
      </c>
      <c r="B63" s="9"/>
      <c r="C63" s="9" t="s">
        <v>41</v>
      </c>
      <c r="D63" s="9" t="s">
        <v>17</v>
      </c>
      <c r="E63" s="14" t="s">
        <v>11</v>
      </c>
      <c r="F63" s="18"/>
      <c r="G63" s="23">
        <v>5</v>
      </c>
      <c r="H63" s="9" t="s">
        <v>12</v>
      </c>
      <c r="I63" s="6" t="s">
        <v>143</v>
      </c>
    </row>
    <row r="64" spans="1:9" ht="15" thickBot="1">
      <c r="A64" s="3" t="s">
        <v>144</v>
      </c>
      <c r="B64" s="10" t="s">
        <v>15</v>
      </c>
      <c r="C64" s="9"/>
      <c r="D64" s="9" t="s">
        <v>63</v>
      </c>
      <c r="E64" s="14">
        <v>31499</v>
      </c>
      <c r="F64" s="18">
        <v>42435</v>
      </c>
      <c r="G64" s="23">
        <v>2</v>
      </c>
      <c r="H64" s="9"/>
      <c r="I64" s="6" t="s">
        <v>101</v>
      </c>
    </row>
    <row r="65" spans="1:9" ht="15" thickBot="1">
      <c r="A65" s="3" t="s">
        <v>145</v>
      </c>
      <c r="B65" s="9" t="s">
        <v>40</v>
      </c>
      <c r="C65" s="9" t="s">
        <v>33</v>
      </c>
      <c r="D65" s="9" t="s">
        <v>46</v>
      </c>
      <c r="E65" s="14">
        <v>97981</v>
      </c>
      <c r="F65" s="18">
        <v>42442</v>
      </c>
      <c r="G65" s="23">
        <v>5</v>
      </c>
      <c r="H65" s="9" t="s">
        <v>35</v>
      </c>
      <c r="I65" s="6" t="s">
        <v>146</v>
      </c>
    </row>
    <row r="66" spans="1:9" ht="15" thickBot="1">
      <c r="A66" s="3" t="s">
        <v>147</v>
      </c>
      <c r="B66" s="9" t="s">
        <v>15</v>
      </c>
      <c r="C66" s="9" t="s">
        <v>16</v>
      </c>
      <c r="D66" s="9" t="s">
        <v>26</v>
      </c>
      <c r="E66" s="14">
        <v>36541</v>
      </c>
      <c r="F66" s="18">
        <v>42449</v>
      </c>
      <c r="G66" s="23">
        <v>2</v>
      </c>
      <c r="H66" s="9" t="s">
        <v>18</v>
      </c>
      <c r="I66" s="6" t="s">
        <v>148</v>
      </c>
    </row>
    <row r="67" spans="1:9" ht="15" thickBot="1">
      <c r="A67" s="3" t="s">
        <v>149</v>
      </c>
      <c r="B67" s="9" t="s">
        <v>24</v>
      </c>
      <c r="C67" s="9" t="s">
        <v>33</v>
      </c>
      <c r="D67" s="9" t="s">
        <v>34</v>
      </c>
      <c r="E67" s="14">
        <v>84737</v>
      </c>
      <c r="F67" s="18">
        <v>42456</v>
      </c>
      <c r="G67" s="23">
        <v>1</v>
      </c>
      <c r="H67" s="9" t="s">
        <v>27</v>
      </c>
      <c r="I67" s="6" t="s">
        <v>150</v>
      </c>
    </row>
    <row r="68" spans="1:9" ht="15" thickBot="1">
      <c r="A68" s="3" t="s">
        <v>151</v>
      </c>
      <c r="B68" s="9" t="s">
        <v>38</v>
      </c>
      <c r="C68" s="9" t="s">
        <v>10</v>
      </c>
      <c r="D68" s="9" t="s">
        <v>34</v>
      </c>
      <c r="E68" s="14">
        <v>33468</v>
      </c>
      <c r="F68" s="18">
        <v>42463</v>
      </c>
      <c r="G68" s="23">
        <v>4</v>
      </c>
      <c r="H68" s="9" t="s">
        <v>27</v>
      </c>
      <c r="I68" s="6" t="s">
        <v>152</v>
      </c>
    </row>
    <row r="69" spans="1:9" ht="15" thickBot="1">
      <c r="A69" s="3" t="s">
        <v>153</v>
      </c>
      <c r="B69" s="10" t="s">
        <v>38</v>
      </c>
      <c r="C69" s="9"/>
      <c r="D69" s="9" t="s">
        <v>63</v>
      </c>
      <c r="E69" s="14">
        <v>96365</v>
      </c>
      <c r="F69" s="18">
        <v>42470</v>
      </c>
      <c r="G69" s="23">
        <v>3</v>
      </c>
      <c r="H69" s="9" t="s">
        <v>18</v>
      </c>
      <c r="I69" s="6" t="s">
        <v>154</v>
      </c>
    </row>
    <row r="70" spans="1:9" ht="15" thickBot="1">
      <c r="A70" s="3" t="s">
        <v>155</v>
      </c>
      <c r="B70" s="9" t="s">
        <v>21</v>
      </c>
      <c r="C70" s="9" t="s">
        <v>25</v>
      </c>
      <c r="D70" s="9" t="s">
        <v>34</v>
      </c>
      <c r="E70" s="14">
        <v>61942</v>
      </c>
      <c r="F70" s="18">
        <v>42477</v>
      </c>
      <c r="G70" s="23">
        <v>3</v>
      </c>
      <c r="H70" s="9" t="s">
        <v>35</v>
      </c>
      <c r="I70" s="6" t="s">
        <v>156</v>
      </c>
    </row>
    <row r="71" spans="1:9" ht="15" thickBot="1">
      <c r="A71" s="3" t="s">
        <v>157</v>
      </c>
      <c r="B71" s="9" t="s">
        <v>38</v>
      </c>
      <c r="C71" s="9" t="s">
        <v>10</v>
      </c>
      <c r="D71" s="9" t="s">
        <v>46</v>
      </c>
      <c r="E71" s="14">
        <v>41467</v>
      </c>
      <c r="F71" s="18">
        <v>42484</v>
      </c>
      <c r="G71" s="23">
        <v>2</v>
      </c>
      <c r="H71" s="9"/>
      <c r="I71" s="6" t="s">
        <v>72</v>
      </c>
    </row>
    <row r="72" spans="1:9" ht="15" thickBot="1">
      <c r="A72" s="3" t="s">
        <v>158</v>
      </c>
      <c r="B72" s="9" t="s">
        <v>53</v>
      </c>
      <c r="C72" s="9" t="s">
        <v>10</v>
      </c>
      <c r="D72" s="9" t="s">
        <v>34</v>
      </c>
      <c r="E72" s="14">
        <v>77096</v>
      </c>
      <c r="F72" s="18">
        <v>42491</v>
      </c>
      <c r="G72" s="23">
        <v>1</v>
      </c>
      <c r="H72" s="9"/>
      <c r="I72" s="6" t="s">
        <v>159</v>
      </c>
    </row>
    <row r="73" spans="1:9" ht="15" thickBot="1">
      <c r="A73" s="3" t="s">
        <v>160</v>
      </c>
      <c r="B73" s="9" t="s">
        <v>15</v>
      </c>
      <c r="C73" s="9" t="s">
        <v>25</v>
      </c>
      <c r="D73" s="9" t="s">
        <v>63</v>
      </c>
      <c r="E73" s="14">
        <v>69952</v>
      </c>
      <c r="F73" s="18">
        <v>42498</v>
      </c>
      <c r="G73" s="23">
        <v>5</v>
      </c>
      <c r="H73" s="9" t="s">
        <v>35</v>
      </c>
      <c r="I73" s="6" t="s">
        <v>13</v>
      </c>
    </row>
    <row r="74" spans="1:9" ht="15" thickBot="1">
      <c r="A74" s="3" t="s">
        <v>161</v>
      </c>
      <c r="B74" s="9" t="s">
        <v>15</v>
      </c>
      <c r="C74" s="9" t="s">
        <v>41</v>
      </c>
      <c r="D74" s="9" t="s">
        <v>26</v>
      </c>
      <c r="E74" s="14">
        <v>85065</v>
      </c>
      <c r="F74" s="18">
        <v>42505</v>
      </c>
      <c r="G74" s="23">
        <v>3</v>
      </c>
      <c r="H74" s="9"/>
      <c r="I74" s="6" t="s">
        <v>162</v>
      </c>
    </row>
    <row r="75" spans="1:9" ht="15" thickBot="1">
      <c r="A75" s="3" t="s">
        <v>163</v>
      </c>
      <c r="B75" s="9" t="s">
        <v>53</v>
      </c>
      <c r="C75" s="9" t="s">
        <v>41</v>
      </c>
      <c r="D75" s="9" t="s">
        <v>34</v>
      </c>
      <c r="E75" s="14">
        <v>56512</v>
      </c>
      <c r="F75" s="18">
        <v>42512</v>
      </c>
      <c r="G75" s="23"/>
      <c r="H75" s="9" t="s">
        <v>18</v>
      </c>
      <c r="I75" s="6" t="s">
        <v>47</v>
      </c>
    </row>
    <row r="76" spans="1:9" ht="15" thickBot="1">
      <c r="A76" s="3" t="s">
        <v>164</v>
      </c>
      <c r="B76" s="9" t="s">
        <v>24</v>
      </c>
      <c r="C76" s="9" t="s">
        <v>25</v>
      </c>
      <c r="D76" s="9" t="s">
        <v>34</v>
      </c>
      <c r="E76" s="14">
        <v>91101</v>
      </c>
      <c r="F76" s="18">
        <v>42519</v>
      </c>
      <c r="G76" s="23">
        <v>4</v>
      </c>
      <c r="H76" s="9" t="s">
        <v>35</v>
      </c>
      <c r="I76" s="6" t="s">
        <v>146</v>
      </c>
    </row>
    <row r="77" spans="1:9" ht="15" thickBot="1">
      <c r="A77" s="3" t="s">
        <v>165</v>
      </c>
      <c r="B77" s="10" t="s">
        <v>38</v>
      </c>
      <c r="C77" s="9"/>
      <c r="D77" s="9" t="s">
        <v>17</v>
      </c>
      <c r="E77" s="14">
        <v>41243</v>
      </c>
      <c r="F77" s="18">
        <v>42526</v>
      </c>
      <c r="G77" s="23"/>
      <c r="H77" s="9"/>
      <c r="I77" s="6" t="s">
        <v>92</v>
      </c>
    </row>
    <row r="78" spans="1:9" ht="15" thickBot="1">
      <c r="A78" s="3" t="s">
        <v>166</v>
      </c>
      <c r="B78" s="9"/>
      <c r="C78" s="9" t="s">
        <v>25</v>
      </c>
      <c r="D78" s="9"/>
      <c r="E78" s="14">
        <v>96142</v>
      </c>
      <c r="F78" s="18">
        <v>42533</v>
      </c>
      <c r="G78" s="23">
        <v>1</v>
      </c>
      <c r="H78" s="9" t="s">
        <v>18</v>
      </c>
      <c r="I78" s="6" t="s">
        <v>167</v>
      </c>
    </row>
    <row r="79" spans="1:9" ht="15" thickBot="1">
      <c r="A79" s="3" t="s">
        <v>168</v>
      </c>
      <c r="B79" s="9" t="s">
        <v>15</v>
      </c>
      <c r="C79" s="9" t="s">
        <v>33</v>
      </c>
      <c r="D79" s="9" t="s">
        <v>34</v>
      </c>
      <c r="E79" s="14">
        <v>94301</v>
      </c>
      <c r="F79" s="18">
        <v>42540</v>
      </c>
      <c r="G79" s="23">
        <v>1</v>
      </c>
      <c r="H79" s="9" t="s">
        <v>27</v>
      </c>
      <c r="I79" s="6" t="s">
        <v>117</v>
      </c>
    </row>
    <row r="80" spans="1:9" ht="15" thickBot="1">
      <c r="A80" s="3" t="s">
        <v>169</v>
      </c>
      <c r="B80" s="10" t="s">
        <v>30</v>
      </c>
      <c r="C80" s="9"/>
      <c r="D80" s="9" t="s">
        <v>46</v>
      </c>
      <c r="E80" s="14">
        <v>69166</v>
      </c>
      <c r="F80" s="18">
        <v>42547</v>
      </c>
      <c r="G80" s="23">
        <v>1</v>
      </c>
      <c r="H80" s="9" t="s">
        <v>35</v>
      </c>
      <c r="I80" s="6" t="s">
        <v>170</v>
      </c>
    </row>
    <row r="81" spans="1:9" ht="15" thickBot="1">
      <c r="A81" s="3" t="s">
        <v>171</v>
      </c>
      <c r="B81" s="10" t="s">
        <v>38</v>
      </c>
      <c r="C81" s="9"/>
      <c r="D81" s="9" t="s">
        <v>46</v>
      </c>
      <c r="E81" s="14">
        <v>78245</v>
      </c>
      <c r="F81" s="18">
        <v>42554</v>
      </c>
      <c r="G81" s="23">
        <v>2</v>
      </c>
      <c r="H81" s="9"/>
      <c r="I81" s="6" t="s">
        <v>172</v>
      </c>
    </row>
    <row r="82" spans="1:9" ht="15" thickBot="1">
      <c r="A82" s="3" t="s">
        <v>173</v>
      </c>
      <c r="B82" s="9" t="s">
        <v>40</v>
      </c>
      <c r="C82" s="9" t="s">
        <v>25</v>
      </c>
      <c r="D82" s="9" t="s">
        <v>26</v>
      </c>
      <c r="E82" s="14">
        <v>66079</v>
      </c>
      <c r="F82" s="18">
        <v>42561</v>
      </c>
      <c r="G82" s="23">
        <v>2</v>
      </c>
      <c r="H82" s="9" t="s">
        <v>18</v>
      </c>
      <c r="I82" s="6" t="s">
        <v>174</v>
      </c>
    </row>
    <row r="83" spans="1:9" ht="15" thickBot="1">
      <c r="A83" s="3" t="s">
        <v>175</v>
      </c>
      <c r="B83" s="9" t="s">
        <v>15</v>
      </c>
      <c r="C83" s="9" t="s">
        <v>41</v>
      </c>
      <c r="D83" s="9" t="s">
        <v>34</v>
      </c>
      <c r="E83" s="14" t="s">
        <v>11</v>
      </c>
      <c r="F83" s="18"/>
      <c r="G83" s="23"/>
      <c r="H83" s="9"/>
      <c r="I83" s="6" t="s">
        <v>86</v>
      </c>
    </row>
    <row r="84" spans="1:9" ht="15" thickBot="1">
      <c r="A84" s="3" t="s">
        <v>176</v>
      </c>
      <c r="B84" s="9" t="s">
        <v>30</v>
      </c>
      <c r="C84" s="9" t="s">
        <v>25</v>
      </c>
      <c r="D84" s="9" t="s">
        <v>26</v>
      </c>
      <c r="E84" s="14">
        <v>95621</v>
      </c>
      <c r="F84" s="18">
        <v>42575</v>
      </c>
      <c r="G84" s="23">
        <v>3</v>
      </c>
      <c r="H84" s="9" t="s">
        <v>35</v>
      </c>
      <c r="I84" s="6" t="s">
        <v>177</v>
      </c>
    </row>
    <row r="85" spans="1:9" ht="15" thickBot="1">
      <c r="A85" s="3" t="s">
        <v>178</v>
      </c>
      <c r="B85" s="9" t="s">
        <v>15</v>
      </c>
      <c r="C85" s="9" t="s">
        <v>33</v>
      </c>
      <c r="D85" s="9" t="s">
        <v>46</v>
      </c>
      <c r="E85" s="14">
        <v>42262</v>
      </c>
      <c r="F85" s="18">
        <v>42582</v>
      </c>
      <c r="G85" s="23">
        <v>1</v>
      </c>
      <c r="H85" s="9"/>
      <c r="I85" s="6" t="s">
        <v>179</v>
      </c>
    </row>
    <row r="86" spans="1:9" ht="15" thickBot="1">
      <c r="A86" s="3" t="s">
        <v>180</v>
      </c>
      <c r="B86" s="9" t="s">
        <v>38</v>
      </c>
      <c r="C86" s="9" t="s">
        <v>25</v>
      </c>
      <c r="D86" s="9" t="s">
        <v>34</v>
      </c>
      <c r="E86" s="14">
        <v>99621</v>
      </c>
      <c r="F86" s="18">
        <v>42589</v>
      </c>
      <c r="G86" s="23"/>
      <c r="H86" s="9" t="s">
        <v>18</v>
      </c>
      <c r="I86" s="6" t="s">
        <v>181</v>
      </c>
    </row>
    <row r="87" spans="1:9" ht="15" thickBot="1">
      <c r="A87" s="3" t="s">
        <v>182</v>
      </c>
      <c r="B87" s="9" t="s">
        <v>24</v>
      </c>
      <c r="C87" s="9" t="s">
        <v>41</v>
      </c>
      <c r="D87" s="9" t="s">
        <v>34</v>
      </c>
      <c r="E87" s="14">
        <v>44682</v>
      </c>
      <c r="F87" s="18">
        <v>42596</v>
      </c>
      <c r="G87" s="23">
        <v>4</v>
      </c>
      <c r="H87" s="9" t="s">
        <v>35</v>
      </c>
      <c r="I87" s="6" t="s">
        <v>111</v>
      </c>
    </row>
    <row r="88" spans="1:9" ht="15" thickBot="1">
      <c r="A88" s="3" t="s">
        <v>183</v>
      </c>
      <c r="B88" s="9" t="s">
        <v>40</v>
      </c>
      <c r="C88" s="9" t="s">
        <v>10</v>
      </c>
      <c r="D88" s="9"/>
      <c r="E88" s="14">
        <v>35163</v>
      </c>
      <c r="F88" s="18">
        <v>42603</v>
      </c>
      <c r="G88" s="23">
        <v>5</v>
      </c>
      <c r="H88" s="9" t="s">
        <v>18</v>
      </c>
      <c r="I88" s="6" t="s">
        <v>184</v>
      </c>
    </row>
    <row r="89" spans="1:9" ht="15" thickBot="1">
      <c r="A89" s="3" t="s">
        <v>185</v>
      </c>
      <c r="B89" s="9" t="s">
        <v>40</v>
      </c>
      <c r="C89" s="9" t="s">
        <v>33</v>
      </c>
      <c r="D89" s="9" t="s">
        <v>34</v>
      </c>
      <c r="E89" s="14">
        <v>33483</v>
      </c>
      <c r="F89" s="18">
        <v>42610</v>
      </c>
      <c r="G89" s="23">
        <v>4</v>
      </c>
      <c r="H89" s="9" t="s">
        <v>27</v>
      </c>
      <c r="I89" s="6" t="s">
        <v>186</v>
      </c>
    </row>
    <row r="90" spans="1:9" ht="15" thickBot="1">
      <c r="A90" s="3" t="s">
        <v>187</v>
      </c>
      <c r="B90" s="9" t="s">
        <v>38</v>
      </c>
      <c r="C90" s="9" t="s">
        <v>16</v>
      </c>
      <c r="D90" s="9" t="s">
        <v>17</v>
      </c>
      <c r="E90" s="14">
        <v>55303</v>
      </c>
      <c r="F90" s="18">
        <v>42617</v>
      </c>
      <c r="G90" s="23">
        <v>4</v>
      </c>
      <c r="H90" s="9" t="s">
        <v>27</v>
      </c>
      <c r="I90" s="6" t="s">
        <v>76</v>
      </c>
    </row>
    <row r="91" spans="1:9" ht="15" thickBot="1">
      <c r="A91" s="3" t="s">
        <v>188</v>
      </c>
      <c r="B91" s="9" t="s">
        <v>40</v>
      </c>
      <c r="C91" s="9" t="s">
        <v>33</v>
      </c>
      <c r="D91" s="9"/>
      <c r="E91" s="14">
        <v>63434</v>
      </c>
      <c r="F91" s="18">
        <v>42624</v>
      </c>
      <c r="G91" s="23">
        <v>3</v>
      </c>
      <c r="H91" s="9"/>
      <c r="I91" s="6" t="s">
        <v>189</v>
      </c>
    </row>
    <row r="92" spans="1:9" ht="15" thickBot="1">
      <c r="A92" s="3" t="s">
        <v>190</v>
      </c>
      <c r="B92" s="10" t="s">
        <v>30</v>
      </c>
      <c r="C92" s="9"/>
      <c r="D92" s="9" t="s">
        <v>63</v>
      </c>
      <c r="E92" s="14">
        <v>38830</v>
      </c>
      <c r="F92" s="18">
        <v>42631</v>
      </c>
      <c r="G92" s="23">
        <v>3</v>
      </c>
      <c r="H92" s="9" t="s">
        <v>18</v>
      </c>
      <c r="I92" s="6" t="s">
        <v>76</v>
      </c>
    </row>
    <row r="93" spans="1:9" ht="15" thickBot="1">
      <c r="A93" s="3" t="s">
        <v>191</v>
      </c>
      <c r="B93" s="9"/>
      <c r="C93" s="9" t="s">
        <v>41</v>
      </c>
      <c r="D93" s="9" t="s">
        <v>46</v>
      </c>
      <c r="E93" s="14">
        <v>50741</v>
      </c>
      <c r="F93" s="18">
        <v>42638</v>
      </c>
      <c r="G93" s="23">
        <v>3</v>
      </c>
      <c r="H93" s="9" t="s">
        <v>12</v>
      </c>
      <c r="I93" s="6" t="s">
        <v>159</v>
      </c>
    </row>
    <row r="94" spans="1:9" ht="15" thickBot="1">
      <c r="A94" s="3" t="s">
        <v>192</v>
      </c>
      <c r="B94" s="9" t="s">
        <v>21</v>
      </c>
      <c r="C94" s="9" t="s">
        <v>16</v>
      </c>
      <c r="D94" s="9" t="s">
        <v>63</v>
      </c>
      <c r="E94" s="14">
        <v>69420</v>
      </c>
      <c r="F94" s="18">
        <v>42645</v>
      </c>
      <c r="G94" s="23">
        <v>1</v>
      </c>
      <c r="H94" s="9" t="s">
        <v>27</v>
      </c>
      <c r="I94" s="6" t="s">
        <v>122</v>
      </c>
    </row>
    <row r="95" spans="1:9" ht="15" thickBot="1">
      <c r="A95" s="3" t="s">
        <v>193</v>
      </c>
      <c r="B95" s="9" t="s">
        <v>30</v>
      </c>
      <c r="C95" s="9" t="s">
        <v>33</v>
      </c>
      <c r="D95" s="9"/>
      <c r="E95" s="14">
        <v>80588</v>
      </c>
      <c r="F95" s="18">
        <v>42652</v>
      </c>
      <c r="G95" s="23">
        <v>5</v>
      </c>
      <c r="H95" s="9" t="s">
        <v>27</v>
      </c>
      <c r="I95" s="6" t="s">
        <v>103</v>
      </c>
    </row>
    <row r="96" spans="1:9" ht="15" thickBot="1">
      <c r="A96" s="3" t="s">
        <v>194</v>
      </c>
      <c r="B96" s="10" t="s">
        <v>21</v>
      </c>
      <c r="C96" s="9"/>
      <c r="D96" s="9" t="s">
        <v>26</v>
      </c>
      <c r="E96" s="14">
        <v>76238</v>
      </c>
      <c r="F96" s="18">
        <v>42659</v>
      </c>
      <c r="G96" s="23">
        <v>4</v>
      </c>
      <c r="H96" s="9" t="s">
        <v>27</v>
      </c>
      <c r="I96" s="6" t="s">
        <v>195</v>
      </c>
    </row>
    <row r="97" spans="1:9" ht="15" thickBot="1">
      <c r="A97" s="3" t="s">
        <v>196</v>
      </c>
      <c r="B97" s="9" t="s">
        <v>53</v>
      </c>
      <c r="C97" s="9" t="s">
        <v>33</v>
      </c>
      <c r="D97" s="9" t="s">
        <v>34</v>
      </c>
      <c r="E97" s="14">
        <v>33264</v>
      </c>
      <c r="F97" s="18">
        <v>42666</v>
      </c>
      <c r="G97" s="23"/>
      <c r="H97" s="9" t="s">
        <v>35</v>
      </c>
      <c r="I97" s="6" t="s">
        <v>197</v>
      </c>
    </row>
    <row r="98" spans="1:9" ht="15" thickBot="1">
      <c r="A98" s="3" t="s">
        <v>198</v>
      </c>
      <c r="B98" s="9" t="s">
        <v>21</v>
      </c>
      <c r="C98" s="9" t="s">
        <v>10</v>
      </c>
      <c r="D98" s="9" t="s">
        <v>63</v>
      </c>
      <c r="E98" s="14">
        <v>96101</v>
      </c>
      <c r="F98" s="18">
        <v>42673</v>
      </c>
      <c r="G98" s="23"/>
      <c r="H98" s="9" t="s">
        <v>18</v>
      </c>
      <c r="I98" s="6" t="s">
        <v>199</v>
      </c>
    </row>
    <row r="99" spans="1:9" ht="15" thickBot="1">
      <c r="A99" s="3" t="s">
        <v>200</v>
      </c>
      <c r="B99" s="9" t="s">
        <v>30</v>
      </c>
      <c r="C99" s="9" t="s">
        <v>10</v>
      </c>
      <c r="D99" s="9" t="s">
        <v>26</v>
      </c>
      <c r="E99" s="14">
        <v>72939</v>
      </c>
      <c r="F99" s="18">
        <v>42680</v>
      </c>
      <c r="G99" s="23">
        <v>3</v>
      </c>
      <c r="H99" s="9"/>
      <c r="I99" s="6" t="s">
        <v>201</v>
      </c>
    </row>
    <row r="100" spans="1:9" ht="15" thickBot="1">
      <c r="A100" s="3" t="s">
        <v>202</v>
      </c>
      <c r="B100" s="9" t="s">
        <v>38</v>
      </c>
      <c r="C100" s="9" t="s">
        <v>16</v>
      </c>
      <c r="D100" s="9" t="s">
        <v>17</v>
      </c>
      <c r="E100" s="14">
        <v>89333</v>
      </c>
      <c r="F100" s="18">
        <v>42687</v>
      </c>
      <c r="G100" s="23">
        <v>1</v>
      </c>
      <c r="H100" s="9" t="s">
        <v>27</v>
      </c>
      <c r="I100" s="6" t="s">
        <v>203</v>
      </c>
    </row>
    <row r="101" spans="1:9" ht="15" thickBot="1">
      <c r="A101" s="3" t="s">
        <v>204</v>
      </c>
      <c r="B101" s="9" t="s">
        <v>53</v>
      </c>
      <c r="C101" s="9" t="s">
        <v>33</v>
      </c>
      <c r="D101" s="9" t="s">
        <v>63</v>
      </c>
      <c r="E101" s="14">
        <v>70470</v>
      </c>
      <c r="F101" s="18">
        <v>42694</v>
      </c>
      <c r="G101" s="23"/>
      <c r="H101" s="9" t="s">
        <v>27</v>
      </c>
      <c r="I101" s="6" t="s">
        <v>205</v>
      </c>
    </row>
    <row r="102" spans="1:9" ht="15" thickBot="1">
      <c r="A102" s="3" t="s">
        <v>206</v>
      </c>
      <c r="B102" s="9" t="s">
        <v>15</v>
      </c>
      <c r="C102" s="9" t="s">
        <v>41</v>
      </c>
      <c r="D102" s="9" t="s">
        <v>26</v>
      </c>
      <c r="E102" s="14">
        <v>70096</v>
      </c>
      <c r="F102" s="18">
        <v>42701</v>
      </c>
      <c r="G102" s="23">
        <v>4</v>
      </c>
      <c r="H102" s="9" t="s">
        <v>27</v>
      </c>
      <c r="I102" s="6" t="s">
        <v>207</v>
      </c>
    </row>
    <row r="103" spans="1:9" ht="15" thickBot="1">
      <c r="A103" s="3" t="s">
        <v>208</v>
      </c>
      <c r="B103" s="9" t="s">
        <v>53</v>
      </c>
      <c r="C103" s="9" t="s">
        <v>41</v>
      </c>
      <c r="D103" s="9"/>
      <c r="E103" s="14" t="s">
        <v>11</v>
      </c>
      <c r="F103" s="18">
        <v>42708</v>
      </c>
      <c r="G103" s="23">
        <v>2</v>
      </c>
      <c r="H103" s="9" t="s">
        <v>18</v>
      </c>
      <c r="I103" s="6" t="s">
        <v>209</v>
      </c>
    </row>
    <row r="104" spans="1:9" ht="15" thickBot="1">
      <c r="A104" s="3" t="s">
        <v>210</v>
      </c>
      <c r="B104" s="9" t="s">
        <v>53</v>
      </c>
      <c r="C104" s="9" t="s">
        <v>33</v>
      </c>
      <c r="D104" s="9" t="s">
        <v>17</v>
      </c>
      <c r="E104" s="14">
        <v>66503</v>
      </c>
      <c r="F104" s="18">
        <v>42715</v>
      </c>
      <c r="G104" s="23"/>
      <c r="H104" s="9" t="s">
        <v>27</v>
      </c>
      <c r="I104" s="6" t="s">
        <v>70</v>
      </c>
    </row>
    <row r="105" spans="1:9" ht="15" thickBot="1">
      <c r="A105" s="3" t="s">
        <v>211</v>
      </c>
      <c r="B105" s="9" t="s">
        <v>21</v>
      </c>
      <c r="C105" s="9" t="s">
        <v>16</v>
      </c>
      <c r="D105" s="9" t="s">
        <v>17</v>
      </c>
      <c r="E105" s="14">
        <v>42096</v>
      </c>
      <c r="F105" s="18">
        <v>42722</v>
      </c>
      <c r="G105" s="23"/>
      <c r="H105" s="9" t="s">
        <v>35</v>
      </c>
      <c r="I105" s="6" t="s">
        <v>212</v>
      </c>
    </row>
    <row r="106" spans="1:9" ht="15" thickBot="1">
      <c r="A106" s="3" t="s">
        <v>213</v>
      </c>
      <c r="B106" s="9" t="s">
        <v>21</v>
      </c>
      <c r="C106" s="10" t="s">
        <v>41</v>
      </c>
      <c r="D106" s="9"/>
      <c r="E106" s="14">
        <v>79145</v>
      </c>
      <c r="F106" s="18">
        <v>42729</v>
      </c>
      <c r="G106" s="23">
        <v>5</v>
      </c>
      <c r="H106" s="9" t="s">
        <v>18</v>
      </c>
      <c r="I106" s="6" t="s">
        <v>117</v>
      </c>
    </row>
    <row r="107" spans="1:9" ht="15" thickBot="1">
      <c r="A107" s="3" t="s">
        <v>214</v>
      </c>
      <c r="B107" s="10" t="s">
        <v>30</v>
      </c>
      <c r="C107" s="9"/>
      <c r="D107" s="9" t="s">
        <v>63</v>
      </c>
      <c r="E107" s="14">
        <v>61556</v>
      </c>
      <c r="F107" s="18">
        <v>42736</v>
      </c>
      <c r="G107" s="23">
        <v>1</v>
      </c>
      <c r="H107" s="9"/>
      <c r="I107" s="6" t="s">
        <v>209</v>
      </c>
    </row>
    <row r="108" spans="1:9" ht="15" thickBot="1">
      <c r="A108" s="3" t="s">
        <v>215</v>
      </c>
      <c r="B108" s="9"/>
      <c r="C108" s="9" t="s">
        <v>16</v>
      </c>
      <c r="D108" s="9" t="s">
        <v>46</v>
      </c>
      <c r="E108" s="14">
        <v>87963</v>
      </c>
      <c r="F108" s="18">
        <v>42743</v>
      </c>
      <c r="G108" s="23">
        <v>3</v>
      </c>
      <c r="H108" s="9" t="s">
        <v>18</v>
      </c>
      <c r="I108" s="6" t="s">
        <v>13</v>
      </c>
    </row>
    <row r="109" spans="1:9" ht="15" thickBot="1">
      <c r="A109" s="3" t="s">
        <v>216</v>
      </c>
      <c r="B109" s="9" t="s">
        <v>15</v>
      </c>
      <c r="C109" s="9" t="s">
        <v>33</v>
      </c>
      <c r="D109" s="9"/>
      <c r="E109" s="14">
        <v>48325</v>
      </c>
      <c r="F109" s="18">
        <v>42750</v>
      </c>
      <c r="G109" s="23"/>
      <c r="H109" s="9" t="s">
        <v>27</v>
      </c>
      <c r="I109" s="6" t="s">
        <v>217</v>
      </c>
    </row>
    <row r="110" spans="1:9" ht="15" thickBot="1">
      <c r="A110" s="3" t="s">
        <v>218</v>
      </c>
      <c r="B110" s="9" t="s">
        <v>38</v>
      </c>
      <c r="C110" s="9" t="s">
        <v>41</v>
      </c>
      <c r="D110" s="9" t="s">
        <v>63</v>
      </c>
      <c r="E110" s="14">
        <v>86412</v>
      </c>
      <c r="F110" s="18">
        <v>42757</v>
      </c>
      <c r="G110" s="23">
        <v>2</v>
      </c>
      <c r="H110" s="9" t="s">
        <v>35</v>
      </c>
      <c r="I110" s="6" t="s">
        <v>74</v>
      </c>
    </row>
    <row r="111" spans="1:9" ht="15" thickBot="1">
      <c r="A111" s="3" t="s">
        <v>219</v>
      </c>
      <c r="B111" s="9" t="s">
        <v>38</v>
      </c>
      <c r="C111" s="9" t="s">
        <v>16</v>
      </c>
      <c r="D111" s="9"/>
      <c r="E111" s="14">
        <v>66761</v>
      </c>
      <c r="F111" s="18">
        <v>42764</v>
      </c>
      <c r="G111" s="23">
        <v>1</v>
      </c>
      <c r="H111" s="9"/>
      <c r="I111" s="6" t="s">
        <v>220</v>
      </c>
    </row>
    <row r="112" spans="1:9" ht="15" thickBot="1">
      <c r="A112" s="3" t="s">
        <v>221</v>
      </c>
      <c r="B112" s="10" t="s">
        <v>30</v>
      </c>
      <c r="C112" s="9"/>
      <c r="D112" s="9" t="s">
        <v>34</v>
      </c>
      <c r="E112" s="14">
        <v>88850</v>
      </c>
      <c r="F112" s="18">
        <v>42771</v>
      </c>
      <c r="G112" s="23">
        <v>1</v>
      </c>
      <c r="H112" s="9" t="s">
        <v>35</v>
      </c>
      <c r="I112" s="6" t="s">
        <v>222</v>
      </c>
    </row>
    <row r="113" spans="1:9" ht="15" thickBot="1">
      <c r="A113" s="3" t="s">
        <v>223</v>
      </c>
      <c r="B113" s="9" t="s">
        <v>40</v>
      </c>
      <c r="C113" s="9" t="s">
        <v>25</v>
      </c>
      <c r="D113" s="9" t="s">
        <v>34</v>
      </c>
      <c r="E113" s="14">
        <v>31293</v>
      </c>
      <c r="F113" s="18"/>
      <c r="G113" s="23">
        <v>2</v>
      </c>
      <c r="H113" s="9" t="s">
        <v>35</v>
      </c>
      <c r="I113" s="6" t="s">
        <v>224</v>
      </c>
    </row>
    <row r="114" spans="1:9" ht="15" thickBot="1">
      <c r="A114" s="3" t="s">
        <v>225</v>
      </c>
      <c r="B114" s="9" t="s">
        <v>40</v>
      </c>
      <c r="C114" s="9" t="s">
        <v>33</v>
      </c>
      <c r="D114" s="9" t="s">
        <v>26</v>
      </c>
      <c r="E114" s="14">
        <v>34306</v>
      </c>
      <c r="F114" s="18">
        <v>42785</v>
      </c>
      <c r="G114" s="23">
        <v>5</v>
      </c>
      <c r="H114" s="9" t="s">
        <v>35</v>
      </c>
      <c r="I114" s="6" t="s">
        <v>156</v>
      </c>
    </row>
    <row r="115" spans="1:9" ht="15" thickBot="1">
      <c r="A115" s="3" t="s">
        <v>226</v>
      </c>
      <c r="B115" s="9" t="s">
        <v>15</v>
      </c>
      <c r="C115" s="9" t="s">
        <v>10</v>
      </c>
      <c r="D115" s="9" t="s">
        <v>34</v>
      </c>
      <c r="E115" s="14">
        <v>78330</v>
      </c>
      <c r="F115" s="18">
        <v>42792</v>
      </c>
      <c r="G115" s="23"/>
      <c r="H115" s="9" t="s">
        <v>18</v>
      </c>
      <c r="I115" s="6" t="s">
        <v>207</v>
      </c>
    </row>
    <row r="116" spans="1:9" ht="15" thickBot="1">
      <c r="A116" s="3" t="s">
        <v>227</v>
      </c>
      <c r="B116" s="9" t="s">
        <v>21</v>
      </c>
      <c r="C116" s="9" t="s">
        <v>33</v>
      </c>
      <c r="D116" s="9" t="s">
        <v>26</v>
      </c>
      <c r="E116" s="14">
        <v>47653</v>
      </c>
      <c r="F116" s="18">
        <v>42799</v>
      </c>
      <c r="G116" s="23">
        <v>1</v>
      </c>
      <c r="H116" s="9" t="s">
        <v>27</v>
      </c>
      <c r="I116" s="6" t="s">
        <v>228</v>
      </c>
    </row>
    <row r="117" spans="1:9" ht="15" thickBot="1">
      <c r="A117" s="3" t="s">
        <v>229</v>
      </c>
      <c r="B117" s="9" t="s">
        <v>15</v>
      </c>
      <c r="C117" s="9" t="s">
        <v>41</v>
      </c>
      <c r="D117" s="9" t="s">
        <v>46</v>
      </c>
      <c r="E117" s="14">
        <v>44627</v>
      </c>
      <c r="F117" s="18">
        <v>42806</v>
      </c>
      <c r="G117" s="23">
        <v>4</v>
      </c>
      <c r="H117" s="9"/>
      <c r="I117" s="6" t="s">
        <v>148</v>
      </c>
    </row>
    <row r="118" spans="1:9" ht="15" thickBot="1">
      <c r="A118" s="3" t="s">
        <v>230</v>
      </c>
      <c r="B118" s="9" t="s">
        <v>53</v>
      </c>
      <c r="C118" s="9" t="s">
        <v>16</v>
      </c>
      <c r="D118" s="9" t="s">
        <v>17</v>
      </c>
      <c r="E118" s="14">
        <v>92343</v>
      </c>
      <c r="F118" s="18">
        <v>42813</v>
      </c>
      <c r="G118" s="23">
        <v>4</v>
      </c>
      <c r="H118" s="9" t="s">
        <v>35</v>
      </c>
      <c r="I118" s="6" t="s">
        <v>76</v>
      </c>
    </row>
    <row r="119" spans="1:9" ht="15" thickBot="1">
      <c r="A119" s="3" t="s">
        <v>231</v>
      </c>
      <c r="B119" s="9" t="s">
        <v>53</v>
      </c>
      <c r="C119" s="9" t="s">
        <v>41</v>
      </c>
      <c r="D119" s="9" t="s">
        <v>63</v>
      </c>
      <c r="E119" s="14">
        <v>38837</v>
      </c>
      <c r="F119" s="18">
        <v>42820</v>
      </c>
      <c r="G119" s="23">
        <v>5</v>
      </c>
      <c r="H119" s="9" t="s">
        <v>35</v>
      </c>
      <c r="I119" s="6" t="s">
        <v>156</v>
      </c>
    </row>
    <row r="120" spans="1:9" ht="15" thickBot="1">
      <c r="A120" s="3" t="s">
        <v>232</v>
      </c>
      <c r="B120" s="9" t="s">
        <v>53</v>
      </c>
      <c r="C120" s="10" t="s">
        <v>41</v>
      </c>
      <c r="D120" s="9"/>
      <c r="E120" s="14">
        <v>73483</v>
      </c>
      <c r="F120" s="18">
        <v>42827</v>
      </c>
      <c r="G120" s="23">
        <v>1</v>
      </c>
      <c r="H120" s="9"/>
      <c r="I120" s="6" t="s">
        <v>233</v>
      </c>
    </row>
    <row r="121" spans="1:9" ht="15" thickBot="1">
      <c r="A121" s="3" t="s">
        <v>234</v>
      </c>
      <c r="B121" s="9" t="s">
        <v>40</v>
      </c>
      <c r="C121" s="9" t="s">
        <v>25</v>
      </c>
      <c r="D121" s="9" t="s">
        <v>34</v>
      </c>
      <c r="E121" s="14">
        <v>95032</v>
      </c>
      <c r="F121" s="18">
        <v>42834</v>
      </c>
      <c r="G121" s="23">
        <v>3</v>
      </c>
      <c r="H121" s="9"/>
      <c r="I121" s="6" t="s">
        <v>235</v>
      </c>
    </row>
    <row r="122" spans="1:9" ht="15" thickBot="1">
      <c r="A122" s="3" t="s">
        <v>236</v>
      </c>
      <c r="B122" s="9" t="s">
        <v>15</v>
      </c>
      <c r="C122" s="9" t="s">
        <v>25</v>
      </c>
      <c r="D122" s="9" t="s">
        <v>63</v>
      </c>
      <c r="E122" s="14">
        <v>44358</v>
      </c>
      <c r="F122" s="18">
        <v>42841</v>
      </c>
      <c r="G122" s="23"/>
      <c r="H122" s="9" t="s">
        <v>35</v>
      </c>
      <c r="I122" s="6" t="s">
        <v>70</v>
      </c>
    </row>
    <row r="123" spans="1:9" ht="15" thickBot="1">
      <c r="A123" s="3" t="s">
        <v>237</v>
      </c>
      <c r="B123" s="9"/>
      <c r="C123" s="9" t="s">
        <v>33</v>
      </c>
      <c r="D123" s="9" t="s">
        <v>26</v>
      </c>
      <c r="E123" s="14" t="s">
        <v>11</v>
      </c>
      <c r="F123" s="18"/>
      <c r="G123" s="23">
        <v>5</v>
      </c>
      <c r="H123" s="9" t="s">
        <v>12</v>
      </c>
      <c r="I123" s="6" t="s">
        <v>238</v>
      </c>
    </row>
    <row r="124" spans="1:9" ht="15" thickBot="1">
      <c r="A124" s="3" t="s">
        <v>239</v>
      </c>
      <c r="B124" s="9" t="s">
        <v>40</v>
      </c>
      <c r="C124" s="9" t="s">
        <v>25</v>
      </c>
      <c r="D124" s="9" t="s">
        <v>26</v>
      </c>
      <c r="E124" s="14">
        <v>45676</v>
      </c>
      <c r="F124" s="18">
        <v>42855</v>
      </c>
      <c r="G124" s="23">
        <v>2</v>
      </c>
      <c r="H124" s="9"/>
      <c r="I124" s="6" t="s">
        <v>240</v>
      </c>
    </row>
    <row r="125" spans="1:9" ht="15" thickBot="1">
      <c r="A125" s="3" t="s">
        <v>241</v>
      </c>
      <c r="B125" s="9" t="s">
        <v>53</v>
      </c>
      <c r="C125" s="9" t="s">
        <v>25</v>
      </c>
      <c r="D125" s="9" t="s">
        <v>17</v>
      </c>
      <c r="E125" s="14">
        <v>52036</v>
      </c>
      <c r="F125" s="18">
        <v>42862</v>
      </c>
      <c r="G125" s="23">
        <v>3</v>
      </c>
      <c r="H125" s="9" t="s">
        <v>27</v>
      </c>
      <c r="I125" s="6" t="s">
        <v>242</v>
      </c>
    </row>
    <row r="126" spans="1:9" ht="15" thickBot="1">
      <c r="A126" s="3" t="s">
        <v>243</v>
      </c>
      <c r="B126" s="10" t="s">
        <v>30</v>
      </c>
      <c r="C126" s="9"/>
      <c r="D126" s="9" t="s">
        <v>17</v>
      </c>
      <c r="E126" s="14">
        <v>30357</v>
      </c>
      <c r="F126" s="18">
        <v>42869</v>
      </c>
      <c r="G126" s="23">
        <v>5</v>
      </c>
      <c r="H126" s="9" t="s">
        <v>27</v>
      </c>
      <c r="I126" s="6" t="s">
        <v>181</v>
      </c>
    </row>
    <row r="127" spans="1:9" ht="15" thickBot="1">
      <c r="A127" s="3" t="s">
        <v>244</v>
      </c>
      <c r="B127" s="9" t="s">
        <v>24</v>
      </c>
      <c r="C127" s="9" t="s">
        <v>33</v>
      </c>
      <c r="D127" s="9"/>
      <c r="E127" s="14">
        <v>60034</v>
      </c>
      <c r="F127" s="18">
        <v>42876</v>
      </c>
      <c r="G127" s="23">
        <v>1</v>
      </c>
      <c r="H127" s="9" t="s">
        <v>35</v>
      </c>
      <c r="I127" s="6" t="s">
        <v>245</v>
      </c>
    </row>
    <row r="128" spans="1:9" ht="15" thickBot="1">
      <c r="A128" s="3" t="s">
        <v>246</v>
      </c>
      <c r="B128" s="9" t="s">
        <v>24</v>
      </c>
      <c r="C128" s="9" t="s">
        <v>10</v>
      </c>
      <c r="D128" s="9"/>
      <c r="E128" s="14">
        <v>90019</v>
      </c>
      <c r="F128" s="18">
        <v>42883</v>
      </c>
      <c r="G128" s="23">
        <v>5</v>
      </c>
      <c r="H128" s="9"/>
      <c r="I128" s="6" t="s">
        <v>247</v>
      </c>
    </row>
    <row r="129" spans="1:9" ht="15" thickBot="1">
      <c r="A129" s="3" t="s">
        <v>248</v>
      </c>
      <c r="B129" s="10" t="s">
        <v>53</v>
      </c>
      <c r="C129" s="9"/>
      <c r="D129" s="9" t="s">
        <v>17</v>
      </c>
      <c r="E129" s="14">
        <v>71494</v>
      </c>
      <c r="F129" s="18">
        <v>42890</v>
      </c>
      <c r="G129" s="23">
        <v>3</v>
      </c>
      <c r="H129" s="9" t="s">
        <v>27</v>
      </c>
      <c r="I129" s="6" t="s">
        <v>249</v>
      </c>
    </row>
    <row r="130" spans="1:9" ht="15" thickBot="1">
      <c r="A130" s="3" t="s">
        <v>250</v>
      </c>
      <c r="B130" s="9" t="s">
        <v>24</v>
      </c>
      <c r="C130" s="9" t="s">
        <v>10</v>
      </c>
      <c r="D130" s="9" t="s">
        <v>26</v>
      </c>
      <c r="E130" s="14">
        <v>91953</v>
      </c>
      <c r="F130" s="18">
        <v>42897</v>
      </c>
      <c r="G130" s="23">
        <v>2</v>
      </c>
      <c r="H130" s="9" t="s">
        <v>27</v>
      </c>
      <c r="I130" s="6" t="s">
        <v>88</v>
      </c>
    </row>
    <row r="131" spans="1:9" ht="15" thickBot="1">
      <c r="A131" s="3" t="s">
        <v>251</v>
      </c>
      <c r="B131" s="9" t="s">
        <v>40</v>
      </c>
      <c r="C131" s="9" t="s">
        <v>25</v>
      </c>
      <c r="D131" s="9" t="s">
        <v>26</v>
      </c>
      <c r="E131" s="14">
        <v>30402</v>
      </c>
      <c r="F131" s="18">
        <v>42904</v>
      </c>
      <c r="G131" s="23">
        <v>1</v>
      </c>
      <c r="H131" s="9"/>
      <c r="I131" s="6" t="s">
        <v>252</v>
      </c>
    </row>
    <row r="132" spans="1:9" ht="15" thickBot="1">
      <c r="A132" s="3" t="s">
        <v>253</v>
      </c>
      <c r="B132" s="10" t="s">
        <v>53</v>
      </c>
      <c r="C132" s="9"/>
      <c r="D132" s="9" t="s">
        <v>46</v>
      </c>
      <c r="E132" s="14">
        <v>62994</v>
      </c>
      <c r="F132" s="18">
        <v>42911</v>
      </c>
      <c r="G132" s="23"/>
      <c r="H132" s="9"/>
      <c r="I132" s="6" t="s">
        <v>113</v>
      </c>
    </row>
    <row r="133" spans="1:9" ht="15" thickBot="1">
      <c r="A133" s="3" t="s">
        <v>254</v>
      </c>
      <c r="B133" s="9" t="s">
        <v>21</v>
      </c>
      <c r="C133" s="9" t="s">
        <v>25</v>
      </c>
      <c r="D133" s="9" t="s">
        <v>34</v>
      </c>
      <c r="E133" s="14">
        <v>48289</v>
      </c>
      <c r="F133" s="18"/>
      <c r="G133" s="23">
        <v>3</v>
      </c>
      <c r="H133" s="9" t="s">
        <v>27</v>
      </c>
      <c r="I133" s="6" t="s">
        <v>44</v>
      </c>
    </row>
    <row r="134" spans="1:9" ht="15" thickBot="1">
      <c r="A134" s="3" t="s">
        <v>255</v>
      </c>
      <c r="B134" s="9" t="s">
        <v>38</v>
      </c>
      <c r="C134" s="9" t="s">
        <v>41</v>
      </c>
      <c r="D134" s="9" t="s">
        <v>17</v>
      </c>
      <c r="E134" s="14">
        <v>34402</v>
      </c>
      <c r="F134" s="18">
        <v>42925</v>
      </c>
      <c r="G134" s="23">
        <v>3</v>
      </c>
      <c r="H134" s="9" t="s">
        <v>18</v>
      </c>
      <c r="I134" s="6" t="s">
        <v>107</v>
      </c>
    </row>
    <row r="135" spans="1:9" ht="15" thickBot="1">
      <c r="A135" s="3" t="s">
        <v>256</v>
      </c>
      <c r="B135" s="9" t="s">
        <v>15</v>
      </c>
      <c r="C135" s="9" t="s">
        <v>16</v>
      </c>
      <c r="D135" s="9" t="s">
        <v>26</v>
      </c>
      <c r="E135" s="14">
        <v>38678</v>
      </c>
      <c r="F135" s="18">
        <v>42932</v>
      </c>
      <c r="G135" s="23">
        <v>3</v>
      </c>
      <c r="H135" s="9" t="s">
        <v>18</v>
      </c>
      <c r="I135" s="6" t="s">
        <v>257</v>
      </c>
    </row>
    <row r="136" spans="1:9" ht="15" thickBot="1">
      <c r="A136" s="3" t="s">
        <v>258</v>
      </c>
      <c r="B136" s="9" t="s">
        <v>40</v>
      </c>
      <c r="C136" s="9" t="s">
        <v>16</v>
      </c>
      <c r="D136" s="9" t="s">
        <v>17</v>
      </c>
      <c r="E136" s="14">
        <v>45758</v>
      </c>
      <c r="F136" s="18">
        <v>42939</v>
      </c>
      <c r="G136" s="23">
        <v>3</v>
      </c>
      <c r="H136" s="9"/>
      <c r="I136" s="6" t="s">
        <v>224</v>
      </c>
    </row>
    <row r="137" spans="1:9" ht="15" thickBot="1">
      <c r="A137" s="3" t="s">
        <v>259</v>
      </c>
      <c r="B137" s="9" t="s">
        <v>15</v>
      </c>
      <c r="C137" s="9" t="s">
        <v>41</v>
      </c>
      <c r="D137" s="9" t="s">
        <v>34</v>
      </c>
      <c r="E137" s="14">
        <v>62476</v>
      </c>
      <c r="F137" s="18">
        <v>42946</v>
      </c>
      <c r="G137" s="23">
        <v>1</v>
      </c>
      <c r="H137" s="9" t="s">
        <v>18</v>
      </c>
      <c r="I137" s="6" t="s">
        <v>137</v>
      </c>
    </row>
    <row r="138" spans="1:9" ht="15" thickBot="1">
      <c r="A138" s="3" t="s">
        <v>260</v>
      </c>
      <c r="B138" s="9"/>
      <c r="C138" s="9" t="s">
        <v>33</v>
      </c>
      <c r="D138" s="9" t="s">
        <v>46</v>
      </c>
      <c r="E138" s="14">
        <v>39280</v>
      </c>
      <c r="F138" s="18">
        <v>42953</v>
      </c>
      <c r="G138" s="23">
        <v>3</v>
      </c>
      <c r="H138" s="9" t="s">
        <v>35</v>
      </c>
      <c r="I138" s="6" t="s">
        <v>98</v>
      </c>
    </row>
    <row r="139" spans="1:9" ht="15" thickBot="1">
      <c r="A139" s="3" t="s">
        <v>261</v>
      </c>
      <c r="B139" s="9" t="s">
        <v>30</v>
      </c>
      <c r="C139" s="9" t="s">
        <v>10</v>
      </c>
      <c r="D139" s="9" t="s">
        <v>34</v>
      </c>
      <c r="E139" s="14">
        <v>60335</v>
      </c>
      <c r="F139" s="18">
        <v>42960</v>
      </c>
      <c r="G139" s="23">
        <v>4</v>
      </c>
      <c r="H139" s="9" t="s">
        <v>18</v>
      </c>
      <c r="I139" s="6" t="s">
        <v>128</v>
      </c>
    </row>
    <row r="140" spans="1:9" ht="15" thickBot="1">
      <c r="A140" s="3" t="s">
        <v>262</v>
      </c>
      <c r="B140" s="9" t="s">
        <v>40</v>
      </c>
      <c r="C140" s="9" t="s">
        <v>16</v>
      </c>
      <c r="D140" s="9" t="s">
        <v>17</v>
      </c>
      <c r="E140" s="14">
        <v>84968</v>
      </c>
      <c r="F140" s="18">
        <v>42967</v>
      </c>
      <c r="G140" s="23"/>
      <c r="H140" s="9"/>
      <c r="I140" s="6" t="s">
        <v>263</v>
      </c>
    </row>
    <row r="141" spans="1:9" ht="15" thickBot="1">
      <c r="A141" s="3" t="s">
        <v>264</v>
      </c>
      <c r="B141" s="9" t="s">
        <v>40</v>
      </c>
      <c r="C141" s="9" t="s">
        <v>41</v>
      </c>
      <c r="D141" s="9" t="s">
        <v>63</v>
      </c>
      <c r="E141" s="14">
        <v>84750</v>
      </c>
      <c r="F141" s="18">
        <v>42974</v>
      </c>
      <c r="G141" s="23">
        <v>4</v>
      </c>
      <c r="H141" s="9" t="s">
        <v>35</v>
      </c>
      <c r="I141" s="6" t="s">
        <v>59</v>
      </c>
    </row>
    <row r="142" spans="1:9" ht="15" thickBot="1">
      <c r="A142" s="3" t="s">
        <v>265</v>
      </c>
      <c r="B142" s="9" t="s">
        <v>53</v>
      </c>
      <c r="C142" s="9" t="s">
        <v>33</v>
      </c>
      <c r="D142" s="9"/>
      <c r="E142" s="14">
        <v>73348</v>
      </c>
      <c r="F142" s="18">
        <v>42981</v>
      </c>
      <c r="G142" s="23">
        <v>2</v>
      </c>
      <c r="H142" s="9"/>
      <c r="I142" s="6" t="s">
        <v>170</v>
      </c>
    </row>
    <row r="143" spans="1:9" ht="15" thickBot="1">
      <c r="A143" s="3" t="s">
        <v>266</v>
      </c>
      <c r="B143" s="9" t="s">
        <v>40</v>
      </c>
      <c r="C143" s="9" t="s">
        <v>25</v>
      </c>
      <c r="D143" s="9" t="s">
        <v>26</v>
      </c>
      <c r="E143" s="14" t="s">
        <v>11</v>
      </c>
      <c r="F143" s="18">
        <v>42988</v>
      </c>
      <c r="G143" s="23">
        <v>4</v>
      </c>
      <c r="H143" s="9" t="s">
        <v>18</v>
      </c>
      <c r="I143" s="6" t="s">
        <v>13</v>
      </c>
    </row>
    <row r="144" spans="1:9" ht="15" thickBot="1">
      <c r="A144" s="3" t="s">
        <v>267</v>
      </c>
      <c r="B144" s="9" t="s">
        <v>30</v>
      </c>
      <c r="C144" s="9" t="s">
        <v>41</v>
      </c>
      <c r="D144" s="9" t="s">
        <v>26</v>
      </c>
      <c r="E144" s="14">
        <v>66882</v>
      </c>
      <c r="F144" s="18">
        <v>42995</v>
      </c>
      <c r="G144" s="23">
        <v>5</v>
      </c>
      <c r="H144" s="9" t="s">
        <v>18</v>
      </c>
      <c r="I144" s="6" t="s">
        <v>84</v>
      </c>
    </row>
    <row r="145" spans="1:9" ht="15" thickBot="1">
      <c r="A145" s="3" t="s">
        <v>268</v>
      </c>
      <c r="B145" s="9" t="s">
        <v>21</v>
      </c>
      <c r="C145" s="10" t="s">
        <v>41</v>
      </c>
      <c r="D145" s="9"/>
      <c r="E145" s="14">
        <v>86775</v>
      </c>
      <c r="F145" s="18">
        <v>43002</v>
      </c>
      <c r="G145" s="23">
        <v>3</v>
      </c>
      <c r="H145" s="9" t="s">
        <v>18</v>
      </c>
      <c r="I145" s="6" t="s">
        <v>94</v>
      </c>
    </row>
    <row r="146" spans="1:9" ht="15" thickBot="1">
      <c r="A146" s="3" t="s">
        <v>269</v>
      </c>
      <c r="B146" s="9" t="s">
        <v>40</v>
      </c>
      <c r="C146" s="9" t="s">
        <v>25</v>
      </c>
      <c r="D146" s="9" t="s">
        <v>46</v>
      </c>
      <c r="E146" s="14">
        <v>91620</v>
      </c>
      <c r="F146" s="18">
        <v>43009</v>
      </c>
      <c r="G146" s="23"/>
      <c r="H146" s="9"/>
      <c r="I146" s="6" t="s">
        <v>270</v>
      </c>
    </row>
    <row r="147" spans="1:9" ht="15" thickBot="1">
      <c r="A147" s="3" t="s">
        <v>271</v>
      </c>
      <c r="B147" s="10" t="s">
        <v>15</v>
      </c>
      <c r="C147" s="9"/>
      <c r="D147" s="9"/>
      <c r="E147" s="14">
        <v>94148</v>
      </c>
      <c r="F147" s="18">
        <v>43016</v>
      </c>
      <c r="G147" s="23">
        <v>2</v>
      </c>
      <c r="H147" s="9"/>
      <c r="I147" s="6" t="s">
        <v>272</v>
      </c>
    </row>
    <row r="148" spans="1:9" ht="15" thickBot="1">
      <c r="A148" s="3" t="s">
        <v>273</v>
      </c>
      <c r="B148" s="9" t="s">
        <v>38</v>
      </c>
      <c r="C148" s="9" t="s">
        <v>25</v>
      </c>
      <c r="D148" s="9" t="s">
        <v>63</v>
      </c>
      <c r="E148" s="14">
        <v>35627</v>
      </c>
      <c r="F148" s="18">
        <v>43023</v>
      </c>
      <c r="G148" s="23">
        <v>5</v>
      </c>
      <c r="H148" s="9" t="s">
        <v>35</v>
      </c>
      <c r="I148" s="6" t="s">
        <v>257</v>
      </c>
    </row>
    <row r="149" spans="1:9" ht="15" thickBot="1">
      <c r="A149" s="3" t="s">
        <v>274</v>
      </c>
      <c r="B149" s="9" t="s">
        <v>24</v>
      </c>
      <c r="C149" s="9" t="s">
        <v>41</v>
      </c>
      <c r="D149" s="9" t="s">
        <v>26</v>
      </c>
      <c r="E149" s="14">
        <v>57141</v>
      </c>
      <c r="F149" s="18">
        <v>43030</v>
      </c>
      <c r="G149" s="23">
        <v>2</v>
      </c>
      <c r="H149" s="9"/>
      <c r="I149" s="6" t="s">
        <v>263</v>
      </c>
    </row>
    <row r="150" spans="1:9" ht="15" thickBot="1">
      <c r="A150" s="3" t="s">
        <v>275</v>
      </c>
      <c r="B150" s="9" t="s">
        <v>53</v>
      </c>
      <c r="C150" s="9" t="s">
        <v>25</v>
      </c>
      <c r="D150" s="9" t="s">
        <v>63</v>
      </c>
      <c r="E150" s="14">
        <v>65270</v>
      </c>
      <c r="F150" s="18">
        <v>43037</v>
      </c>
      <c r="G150" s="23">
        <v>1</v>
      </c>
      <c r="H150" s="9"/>
      <c r="I150" s="6" t="s">
        <v>276</v>
      </c>
    </row>
    <row r="151" spans="1:9" ht="15" thickBot="1">
      <c r="A151" s="3" t="s">
        <v>277</v>
      </c>
      <c r="B151" s="10" t="s">
        <v>53</v>
      </c>
      <c r="C151" s="9"/>
      <c r="D151" s="9" t="s">
        <v>46</v>
      </c>
      <c r="E151" s="14">
        <v>67335</v>
      </c>
      <c r="F151" s="18">
        <v>43044</v>
      </c>
      <c r="G151" s="23">
        <v>1</v>
      </c>
      <c r="H151" s="9" t="s">
        <v>18</v>
      </c>
      <c r="I151" s="6" t="s">
        <v>143</v>
      </c>
    </row>
    <row r="152" spans="1:9">
      <c r="A152" s="4" t="s">
        <v>278</v>
      </c>
      <c r="B152" s="11" t="s">
        <v>38</v>
      </c>
      <c r="C152" s="11" t="s">
        <v>41</v>
      </c>
      <c r="D152" s="11" t="s">
        <v>34</v>
      </c>
      <c r="E152" s="15">
        <v>98475</v>
      </c>
      <c r="F152" s="19">
        <v>43051</v>
      </c>
      <c r="G152" s="24">
        <v>5</v>
      </c>
      <c r="H152" s="11" t="s">
        <v>18</v>
      </c>
      <c r="I152" s="7" t="s">
        <v>279</v>
      </c>
    </row>
  </sheetData>
  <mergeCells count="1">
    <mergeCell ref="A1:O1"/>
  </mergeCells>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66C6FB-4812-4DDB-A220-EFB6FBF70B7F}">
  <dimension ref="A1:O152"/>
  <sheetViews>
    <sheetView topLeftCell="A129" workbookViewId="0">
      <selection activeCell="K16" sqref="K16"/>
    </sheetView>
  </sheetViews>
  <sheetFormatPr defaultRowHeight="14.4"/>
  <cols>
    <col min="1" max="1" width="12.109375" customWidth="1"/>
    <col min="2" max="2" width="14.21875" customWidth="1"/>
    <col min="3" max="3" width="12.44140625" customWidth="1"/>
    <col min="4" max="4" width="13.5546875" customWidth="1"/>
    <col min="5" max="5" width="11.6640625" customWidth="1"/>
    <col min="6" max="6" width="12.88671875" customWidth="1"/>
    <col min="8" max="8" width="13.109375" customWidth="1"/>
    <col min="9" max="9" width="24.6640625" customWidth="1"/>
  </cols>
  <sheetData>
    <row r="1" spans="1:15" ht="21">
      <c r="A1" s="175" t="s">
        <v>333</v>
      </c>
      <c r="B1" s="175"/>
      <c r="C1" s="175"/>
      <c r="D1" s="175"/>
      <c r="E1" s="175"/>
      <c r="F1" s="175"/>
      <c r="G1" s="175"/>
      <c r="H1" s="175"/>
      <c r="I1" s="175"/>
      <c r="J1" s="175"/>
      <c r="K1" s="175"/>
      <c r="L1" s="175"/>
      <c r="M1" s="175"/>
      <c r="N1" s="175"/>
      <c r="O1" s="175"/>
    </row>
    <row r="2" spans="1:15" ht="15" thickBot="1">
      <c r="A2" s="26" t="s">
        <v>0</v>
      </c>
      <c r="B2" s="27" t="s">
        <v>1</v>
      </c>
      <c r="C2" s="27" t="s">
        <v>2</v>
      </c>
      <c r="D2" s="27" t="s">
        <v>3</v>
      </c>
      <c r="E2" s="28" t="s">
        <v>4</v>
      </c>
      <c r="F2" s="29" t="s">
        <v>5</v>
      </c>
      <c r="G2" s="30" t="s">
        <v>6</v>
      </c>
      <c r="H2" s="27" t="s">
        <v>7</v>
      </c>
      <c r="I2" s="31" t="s">
        <v>8</v>
      </c>
    </row>
    <row r="3" spans="1:15" ht="15" thickBot="1">
      <c r="A3" s="32" t="s">
        <v>9</v>
      </c>
      <c r="B3" s="33" t="s">
        <v>12</v>
      </c>
      <c r="C3" s="33" t="s">
        <v>10</v>
      </c>
      <c r="D3" s="33" t="s">
        <v>12</v>
      </c>
      <c r="E3" s="34">
        <v>66280.929577464791</v>
      </c>
      <c r="F3" s="35" t="s">
        <v>12</v>
      </c>
      <c r="G3" s="36">
        <v>2</v>
      </c>
      <c r="H3" s="37" t="s">
        <v>12</v>
      </c>
      <c r="I3" s="38" t="s">
        <v>12</v>
      </c>
    </row>
    <row r="4" spans="1:15" ht="15" thickBot="1">
      <c r="A4" s="32" t="s">
        <v>14</v>
      </c>
      <c r="B4" s="33" t="s">
        <v>15</v>
      </c>
      <c r="C4" s="33" t="s">
        <v>16</v>
      </c>
      <c r="D4" s="33" t="s">
        <v>17</v>
      </c>
      <c r="E4" s="34">
        <v>54255</v>
      </c>
      <c r="F4" s="35">
        <v>42015</v>
      </c>
      <c r="G4" s="36">
        <v>1</v>
      </c>
      <c r="H4" s="37" t="s">
        <v>18</v>
      </c>
      <c r="I4" s="38" t="s">
        <v>19</v>
      </c>
    </row>
    <row r="5" spans="1:15" ht="15" thickBot="1">
      <c r="A5" s="32" t="s">
        <v>20</v>
      </c>
      <c r="B5" s="33" t="s">
        <v>21</v>
      </c>
      <c r="C5" s="33" t="s">
        <v>10</v>
      </c>
      <c r="D5" s="33" t="s">
        <v>17</v>
      </c>
      <c r="E5" s="34">
        <v>63184</v>
      </c>
      <c r="F5" s="35">
        <v>42022</v>
      </c>
      <c r="G5" s="36">
        <v>2</v>
      </c>
      <c r="H5" s="37" t="s">
        <v>12</v>
      </c>
      <c r="I5" s="38" t="s">
        <v>22</v>
      </c>
    </row>
    <row r="6" spans="1:15" ht="15" thickBot="1">
      <c r="A6" s="32" t="s">
        <v>23</v>
      </c>
      <c r="B6" s="33" t="s">
        <v>24</v>
      </c>
      <c r="C6" s="33" t="s">
        <v>25</v>
      </c>
      <c r="D6" s="33" t="s">
        <v>26</v>
      </c>
      <c r="E6" s="34">
        <v>94406</v>
      </c>
      <c r="F6" s="35">
        <v>42029</v>
      </c>
      <c r="G6" s="36">
        <v>1</v>
      </c>
      <c r="H6" s="37" t="s">
        <v>27</v>
      </c>
      <c r="I6" s="38" t="s">
        <v>28</v>
      </c>
    </row>
    <row r="7" spans="1:15" ht="15" thickBot="1">
      <c r="A7" s="32" t="s">
        <v>29</v>
      </c>
      <c r="B7" s="33" t="s">
        <v>30</v>
      </c>
      <c r="C7" s="33" t="s">
        <v>25</v>
      </c>
      <c r="D7" s="33" t="s">
        <v>17</v>
      </c>
      <c r="E7" s="34">
        <v>64120</v>
      </c>
      <c r="F7" s="35">
        <v>42036</v>
      </c>
      <c r="G7" s="36">
        <v>1</v>
      </c>
      <c r="H7" s="37" t="s">
        <v>27</v>
      </c>
      <c r="I7" s="38" t="s">
        <v>31</v>
      </c>
    </row>
    <row r="8" spans="1:15" ht="15" thickBot="1">
      <c r="A8" s="32" t="s">
        <v>32</v>
      </c>
      <c r="B8" s="33" t="s">
        <v>21</v>
      </c>
      <c r="C8" s="33" t="s">
        <v>33</v>
      </c>
      <c r="D8" s="33" t="s">
        <v>34</v>
      </c>
      <c r="E8" s="34">
        <v>78421</v>
      </c>
      <c r="F8" s="35">
        <v>42043</v>
      </c>
      <c r="G8" s="36">
        <v>2</v>
      </c>
      <c r="H8" s="37" t="s">
        <v>35</v>
      </c>
      <c r="I8" s="38" t="s">
        <v>36</v>
      </c>
    </row>
    <row r="9" spans="1:15" ht="15" thickBot="1">
      <c r="A9" s="32" t="s">
        <v>37</v>
      </c>
      <c r="B9" s="33" t="s">
        <v>38</v>
      </c>
      <c r="C9" s="33" t="s">
        <v>25</v>
      </c>
      <c r="D9" s="33" t="s">
        <v>12</v>
      </c>
      <c r="E9" s="34">
        <v>67721</v>
      </c>
      <c r="F9" s="35">
        <v>42050</v>
      </c>
      <c r="G9" s="36">
        <v>2.9411764705882355</v>
      </c>
      <c r="H9" s="37" t="s">
        <v>27</v>
      </c>
      <c r="I9" s="38" t="s">
        <v>28</v>
      </c>
    </row>
    <row r="10" spans="1:15" ht="15" thickBot="1">
      <c r="A10" s="32" t="s">
        <v>39</v>
      </c>
      <c r="B10" s="33" t="s">
        <v>40</v>
      </c>
      <c r="C10" s="39" t="s">
        <v>41</v>
      </c>
      <c r="D10" s="33" t="s">
        <v>12</v>
      </c>
      <c r="E10" s="34">
        <v>35364</v>
      </c>
      <c r="F10" s="35">
        <v>42057</v>
      </c>
      <c r="G10" s="36">
        <v>2</v>
      </c>
      <c r="H10" s="37" t="s">
        <v>18</v>
      </c>
      <c r="I10" s="38" t="s">
        <v>42</v>
      </c>
    </row>
    <row r="11" spans="1:15" ht="15" thickBot="1">
      <c r="A11" s="32" t="s">
        <v>43</v>
      </c>
      <c r="B11" s="33" t="s">
        <v>21</v>
      </c>
      <c r="C11" s="33" t="s">
        <v>33</v>
      </c>
      <c r="D11" s="33" t="s">
        <v>17</v>
      </c>
      <c r="E11" s="34">
        <v>97881</v>
      </c>
      <c r="F11" s="35">
        <v>42064</v>
      </c>
      <c r="G11" s="36">
        <v>2.9491525423728815</v>
      </c>
      <c r="H11" s="37" t="s">
        <v>35</v>
      </c>
      <c r="I11" s="38" t="s">
        <v>44</v>
      </c>
    </row>
    <row r="12" spans="1:15" ht="15" thickBot="1">
      <c r="A12" s="32" t="s">
        <v>45</v>
      </c>
      <c r="B12" s="33" t="s">
        <v>40</v>
      </c>
      <c r="C12" s="33" t="s">
        <v>16</v>
      </c>
      <c r="D12" s="33" t="s">
        <v>46</v>
      </c>
      <c r="E12" s="34">
        <v>91846</v>
      </c>
      <c r="F12" s="35">
        <v>42071</v>
      </c>
      <c r="G12" s="36">
        <v>2.9491525423728815</v>
      </c>
      <c r="H12" s="37" t="s">
        <v>27</v>
      </c>
      <c r="I12" s="38" t="s">
        <v>47</v>
      </c>
    </row>
    <row r="13" spans="1:15" ht="15" thickBot="1">
      <c r="A13" s="32" t="s">
        <v>48</v>
      </c>
      <c r="B13" s="33" t="s">
        <v>38</v>
      </c>
      <c r="C13" s="33" t="s">
        <v>10</v>
      </c>
      <c r="D13" s="33" t="s">
        <v>46</v>
      </c>
      <c r="E13" s="34">
        <v>64247</v>
      </c>
      <c r="F13" s="35">
        <v>42078</v>
      </c>
      <c r="G13" s="36">
        <v>1</v>
      </c>
      <c r="H13" s="37" t="s">
        <v>35</v>
      </c>
      <c r="I13" s="38" t="s">
        <v>49</v>
      </c>
    </row>
    <row r="14" spans="1:15" ht="15" thickBot="1">
      <c r="A14" s="32" t="s">
        <v>50</v>
      </c>
      <c r="B14" s="33" t="s">
        <v>38</v>
      </c>
      <c r="C14" s="33" t="s">
        <v>33</v>
      </c>
      <c r="D14" s="33" t="s">
        <v>26</v>
      </c>
      <c r="E14" s="34">
        <v>91180</v>
      </c>
      <c r="F14" s="35">
        <v>42085</v>
      </c>
      <c r="G14" s="36">
        <v>5</v>
      </c>
      <c r="H14" s="37" t="s">
        <v>27</v>
      </c>
      <c r="I14" s="38" t="s">
        <v>51</v>
      </c>
    </row>
    <row r="15" spans="1:15" ht="15" thickBot="1">
      <c r="A15" s="32" t="s">
        <v>52</v>
      </c>
      <c r="B15" s="33" t="s">
        <v>53</v>
      </c>
      <c r="C15" s="33" t="s">
        <v>25</v>
      </c>
      <c r="D15" s="33" t="s">
        <v>12</v>
      </c>
      <c r="E15" s="34">
        <v>96418</v>
      </c>
      <c r="F15" s="35">
        <v>42092</v>
      </c>
      <c r="G15" s="36">
        <v>5</v>
      </c>
      <c r="H15" s="37" t="s">
        <v>27</v>
      </c>
      <c r="I15" s="38" t="s">
        <v>19</v>
      </c>
    </row>
    <row r="16" spans="1:15" ht="15" thickBot="1">
      <c r="A16" s="32" t="s">
        <v>54</v>
      </c>
      <c r="B16" s="39" t="s">
        <v>38</v>
      </c>
      <c r="C16" s="33" t="s">
        <v>12</v>
      </c>
      <c r="D16" s="33" t="s">
        <v>34</v>
      </c>
      <c r="E16" s="34">
        <v>62158</v>
      </c>
      <c r="F16" s="35">
        <v>42099</v>
      </c>
      <c r="G16" s="36">
        <v>4</v>
      </c>
      <c r="H16" s="37" t="s">
        <v>12</v>
      </c>
      <c r="I16" s="38" t="s">
        <v>55</v>
      </c>
    </row>
    <row r="17" spans="1:9" ht="15" thickBot="1">
      <c r="A17" s="32" t="s">
        <v>56</v>
      </c>
      <c r="B17" s="33" t="s">
        <v>30</v>
      </c>
      <c r="C17" s="33" t="s">
        <v>16</v>
      </c>
      <c r="D17" s="33" t="s">
        <v>12</v>
      </c>
      <c r="E17" s="34">
        <v>59894</v>
      </c>
      <c r="F17" s="35">
        <v>42106</v>
      </c>
      <c r="G17" s="36">
        <v>2</v>
      </c>
      <c r="H17" s="37" t="s">
        <v>27</v>
      </c>
      <c r="I17" s="38" t="s">
        <v>57</v>
      </c>
    </row>
    <row r="18" spans="1:9" ht="15" thickBot="1">
      <c r="A18" s="32" t="s">
        <v>58</v>
      </c>
      <c r="B18" s="33" t="s">
        <v>12</v>
      </c>
      <c r="C18" s="33" t="s">
        <v>33</v>
      </c>
      <c r="D18" s="33" t="s">
        <v>34</v>
      </c>
      <c r="E18" s="34">
        <v>92443</v>
      </c>
      <c r="F18" s="35">
        <v>42113</v>
      </c>
      <c r="G18" s="36">
        <v>3</v>
      </c>
      <c r="H18" s="37" t="s">
        <v>18</v>
      </c>
      <c r="I18" s="38" t="s">
        <v>59</v>
      </c>
    </row>
    <row r="19" spans="1:9" ht="15" thickBot="1">
      <c r="A19" s="32" t="s">
        <v>60</v>
      </c>
      <c r="B19" s="39" t="s">
        <v>53</v>
      </c>
      <c r="C19" s="33" t="s">
        <v>12</v>
      </c>
      <c r="D19" s="33" t="s">
        <v>17</v>
      </c>
      <c r="E19" s="34">
        <v>90271</v>
      </c>
      <c r="F19" s="35">
        <v>42120</v>
      </c>
      <c r="G19" s="36">
        <v>2.9285714285714284</v>
      </c>
      <c r="H19" s="37" t="s">
        <v>12</v>
      </c>
      <c r="I19" s="38" t="s">
        <v>61</v>
      </c>
    </row>
    <row r="20" spans="1:9" ht="15" thickBot="1">
      <c r="A20" s="32" t="s">
        <v>62</v>
      </c>
      <c r="B20" s="33" t="s">
        <v>30</v>
      </c>
      <c r="C20" s="33" t="s">
        <v>10</v>
      </c>
      <c r="D20" s="33" t="s">
        <v>63</v>
      </c>
      <c r="E20" s="34">
        <v>41341</v>
      </c>
      <c r="F20" s="35">
        <v>42127</v>
      </c>
      <c r="G20" s="36">
        <v>1</v>
      </c>
      <c r="H20" s="37" t="s">
        <v>18</v>
      </c>
      <c r="I20" s="38" t="s">
        <v>64</v>
      </c>
    </row>
    <row r="21" spans="1:9" ht="15" thickBot="1">
      <c r="A21" s="32" t="s">
        <v>65</v>
      </c>
      <c r="B21" s="33" t="s">
        <v>21</v>
      </c>
      <c r="C21" s="33" t="s">
        <v>10</v>
      </c>
      <c r="D21" s="33" t="s">
        <v>46</v>
      </c>
      <c r="E21" s="34">
        <v>73602</v>
      </c>
      <c r="F21" s="35">
        <v>42134</v>
      </c>
      <c r="G21" s="36">
        <v>2.9459459459459461</v>
      </c>
      <c r="H21" s="37" t="s">
        <v>12</v>
      </c>
      <c r="I21" s="38" t="s">
        <v>66</v>
      </c>
    </row>
    <row r="22" spans="1:9" ht="15" thickBot="1">
      <c r="A22" s="32" t="s">
        <v>67</v>
      </c>
      <c r="B22" s="39" t="s">
        <v>15</v>
      </c>
      <c r="C22" s="33" t="s">
        <v>12</v>
      </c>
      <c r="D22" s="33" t="s">
        <v>34</v>
      </c>
      <c r="E22" s="34">
        <v>67531</v>
      </c>
      <c r="F22" s="35">
        <v>42141</v>
      </c>
      <c r="G22" s="36">
        <v>5</v>
      </c>
      <c r="H22" s="37" t="s">
        <v>35</v>
      </c>
      <c r="I22" s="38" t="s">
        <v>68</v>
      </c>
    </row>
    <row r="23" spans="1:9" ht="15" thickBot="1">
      <c r="A23" s="32" t="s">
        <v>69</v>
      </c>
      <c r="B23" s="33" t="s">
        <v>30</v>
      </c>
      <c r="C23" s="33" t="s">
        <v>16</v>
      </c>
      <c r="D23" s="33" t="s">
        <v>26</v>
      </c>
      <c r="E23" s="34">
        <v>65248.853658536587</v>
      </c>
      <c r="F23" s="35">
        <v>42148</v>
      </c>
      <c r="G23" s="36">
        <v>2</v>
      </c>
      <c r="H23" s="37" t="s">
        <v>18</v>
      </c>
      <c r="I23" s="38" t="s">
        <v>70</v>
      </c>
    </row>
    <row r="24" spans="1:9" ht="15" thickBot="1">
      <c r="A24" s="32" t="s">
        <v>71</v>
      </c>
      <c r="B24" s="33" t="s">
        <v>30</v>
      </c>
      <c r="C24" s="33" t="s">
        <v>16</v>
      </c>
      <c r="D24" s="33" t="s">
        <v>12</v>
      </c>
      <c r="E24" s="34">
        <v>98922</v>
      </c>
      <c r="F24" s="35">
        <v>42155</v>
      </c>
      <c r="G24" s="36">
        <v>4</v>
      </c>
      <c r="H24" s="37" t="s">
        <v>12</v>
      </c>
      <c r="I24" s="38" t="s">
        <v>72</v>
      </c>
    </row>
    <row r="25" spans="1:9" ht="15" thickBot="1">
      <c r="A25" s="32" t="s">
        <v>73</v>
      </c>
      <c r="B25" s="33" t="s">
        <v>15</v>
      </c>
      <c r="C25" s="33" t="s">
        <v>10</v>
      </c>
      <c r="D25" s="33" t="s">
        <v>34</v>
      </c>
      <c r="E25" s="34">
        <v>38333</v>
      </c>
      <c r="F25" s="35">
        <v>42162</v>
      </c>
      <c r="G25" s="36">
        <v>5</v>
      </c>
      <c r="H25" s="37" t="s">
        <v>12</v>
      </c>
      <c r="I25" s="38" t="s">
        <v>74</v>
      </c>
    </row>
    <row r="26" spans="1:9" ht="15" thickBot="1">
      <c r="A26" s="32" t="s">
        <v>75</v>
      </c>
      <c r="B26" s="33" t="s">
        <v>21</v>
      </c>
      <c r="C26" s="33" t="s">
        <v>41</v>
      </c>
      <c r="D26" s="33" t="s">
        <v>46</v>
      </c>
      <c r="E26" s="34">
        <v>36515</v>
      </c>
      <c r="F26" s="35">
        <v>42169</v>
      </c>
      <c r="G26" s="36">
        <v>3</v>
      </c>
      <c r="H26" s="37" t="s">
        <v>27</v>
      </c>
      <c r="I26" s="38" t="s">
        <v>76</v>
      </c>
    </row>
    <row r="27" spans="1:9" ht="15" thickBot="1">
      <c r="A27" s="32" t="s">
        <v>77</v>
      </c>
      <c r="B27" s="33" t="s">
        <v>38</v>
      </c>
      <c r="C27" s="33" t="s">
        <v>10</v>
      </c>
      <c r="D27" s="33" t="s">
        <v>12</v>
      </c>
      <c r="E27" s="34">
        <v>91005</v>
      </c>
      <c r="F27" s="35">
        <v>42176</v>
      </c>
      <c r="G27" s="36">
        <v>1</v>
      </c>
      <c r="H27" s="37" t="s">
        <v>18</v>
      </c>
      <c r="I27" s="38" t="s">
        <v>78</v>
      </c>
    </row>
    <row r="28" spans="1:9" ht="15" thickBot="1">
      <c r="A28" s="32" t="s">
        <v>79</v>
      </c>
      <c r="B28" s="33" t="s">
        <v>40</v>
      </c>
      <c r="C28" s="33" t="s">
        <v>12</v>
      </c>
      <c r="D28" s="33" t="s">
        <v>12</v>
      </c>
      <c r="E28" s="34">
        <v>52272</v>
      </c>
      <c r="F28" s="35">
        <v>42183</v>
      </c>
      <c r="G28" s="36">
        <v>3</v>
      </c>
      <c r="H28" s="37" t="s">
        <v>12</v>
      </c>
      <c r="I28" s="38" t="s">
        <v>80</v>
      </c>
    </row>
    <row r="29" spans="1:9" ht="15" thickBot="1">
      <c r="A29" s="32" t="s">
        <v>81</v>
      </c>
      <c r="B29" s="33" t="s">
        <v>15</v>
      </c>
      <c r="C29" s="33" t="s">
        <v>25</v>
      </c>
      <c r="D29" s="33" t="s">
        <v>17</v>
      </c>
      <c r="E29" s="34">
        <v>76518</v>
      </c>
      <c r="F29" s="35">
        <v>42190</v>
      </c>
      <c r="G29" s="36">
        <v>2</v>
      </c>
      <c r="H29" s="37" t="s">
        <v>35</v>
      </c>
      <c r="I29" s="38" t="s">
        <v>82</v>
      </c>
    </row>
    <row r="30" spans="1:9" ht="15" thickBot="1">
      <c r="A30" s="32" t="s">
        <v>83</v>
      </c>
      <c r="B30" s="33" t="s">
        <v>21</v>
      </c>
      <c r="C30" s="33" t="s">
        <v>33</v>
      </c>
      <c r="D30" s="33" t="s">
        <v>46</v>
      </c>
      <c r="E30" s="34">
        <v>41448</v>
      </c>
      <c r="F30" s="35">
        <v>42197</v>
      </c>
      <c r="G30" s="36">
        <v>3</v>
      </c>
      <c r="H30" s="37" t="s">
        <v>18</v>
      </c>
      <c r="I30" s="38" t="s">
        <v>84</v>
      </c>
    </row>
    <row r="31" spans="1:9" ht="15" thickBot="1">
      <c r="A31" s="32" t="s">
        <v>85</v>
      </c>
      <c r="B31" s="33" t="s">
        <v>24</v>
      </c>
      <c r="C31" s="33" t="s">
        <v>16</v>
      </c>
      <c r="D31" s="33" t="s">
        <v>46</v>
      </c>
      <c r="E31" s="34">
        <v>49282</v>
      </c>
      <c r="F31" s="35">
        <v>42204</v>
      </c>
      <c r="G31" s="36">
        <v>2</v>
      </c>
      <c r="H31" s="37" t="s">
        <v>35</v>
      </c>
      <c r="I31" s="38" t="s">
        <v>86</v>
      </c>
    </row>
    <row r="32" spans="1:9" ht="15" thickBot="1">
      <c r="A32" s="32" t="s">
        <v>87</v>
      </c>
      <c r="B32" s="33" t="s">
        <v>53</v>
      </c>
      <c r="C32" s="33" t="s">
        <v>41</v>
      </c>
      <c r="D32" s="33" t="s">
        <v>46</v>
      </c>
      <c r="E32" s="34">
        <v>92959</v>
      </c>
      <c r="F32" s="35">
        <v>42211</v>
      </c>
      <c r="G32" s="36">
        <v>5</v>
      </c>
      <c r="H32" s="37" t="s">
        <v>12</v>
      </c>
      <c r="I32" s="38" t="s">
        <v>88</v>
      </c>
    </row>
    <row r="33" spans="1:9" ht="15" thickBot="1">
      <c r="A33" s="32" t="s">
        <v>89</v>
      </c>
      <c r="B33" s="33" t="s">
        <v>12</v>
      </c>
      <c r="C33" s="39" t="s">
        <v>41</v>
      </c>
      <c r="D33" s="33" t="s">
        <v>12</v>
      </c>
      <c r="E33" s="34">
        <v>92259</v>
      </c>
      <c r="F33" s="35" t="s">
        <v>12</v>
      </c>
      <c r="G33" s="36">
        <v>1</v>
      </c>
      <c r="H33" s="37" t="s">
        <v>12</v>
      </c>
      <c r="I33" s="38" t="s">
        <v>90</v>
      </c>
    </row>
    <row r="34" spans="1:9" ht="15" thickBot="1">
      <c r="A34" s="32" t="s">
        <v>91</v>
      </c>
      <c r="B34" s="33" t="s">
        <v>15</v>
      </c>
      <c r="C34" s="33" t="s">
        <v>16</v>
      </c>
      <c r="D34" s="33" t="s">
        <v>17</v>
      </c>
      <c r="E34" s="34">
        <v>92299</v>
      </c>
      <c r="F34" s="35">
        <v>42225</v>
      </c>
      <c r="G34" s="36">
        <v>3</v>
      </c>
      <c r="H34" s="37" t="s">
        <v>27</v>
      </c>
      <c r="I34" s="38" t="s">
        <v>92</v>
      </c>
    </row>
    <row r="35" spans="1:9" ht="15" thickBot="1">
      <c r="A35" s="32" t="s">
        <v>93</v>
      </c>
      <c r="B35" s="33" t="s">
        <v>38</v>
      </c>
      <c r="C35" s="33" t="s">
        <v>16</v>
      </c>
      <c r="D35" s="33" t="s">
        <v>12</v>
      </c>
      <c r="E35" s="34">
        <v>95586</v>
      </c>
      <c r="F35" s="35">
        <v>42232</v>
      </c>
      <c r="G35" s="36">
        <v>3</v>
      </c>
      <c r="H35" s="37" t="s">
        <v>18</v>
      </c>
      <c r="I35" s="38" t="s">
        <v>94</v>
      </c>
    </row>
    <row r="36" spans="1:9" ht="15" thickBot="1">
      <c r="A36" s="32" t="s">
        <v>95</v>
      </c>
      <c r="B36" s="33" t="s">
        <v>40</v>
      </c>
      <c r="C36" s="33" t="s">
        <v>12</v>
      </c>
      <c r="D36" s="33" t="s">
        <v>26</v>
      </c>
      <c r="E36" s="34">
        <v>95367</v>
      </c>
      <c r="F36" s="35">
        <v>42239</v>
      </c>
      <c r="G36" s="36">
        <v>2.9381443298969074</v>
      </c>
      <c r="H36" s="37" t="s">
        <v>27</v>
      </c>
      <c r="I36" s="38" t="s">
        <v>96</v>
      </c>
    </row>
    <row r="37" spans="1:9" ht="15" thickBot="1">
      <c r="A37" s="32" t="s">
        <v>97</v>
      </c>
      <c r="B37" s="33" t="s">
        <v>24</v>
      </c>
      <c r="C37" s="33" t="s">
        <v>25</v>
      </c>
      <c r="D37" s="33" t="s">
        <v>63</v>
      </c>
      <c r="E37" s="34">
        <v>79549</v>
      </c>
      <c r="F37" s="35">
        <v>42246</v>
      </c>
      <c r="G37" s="36">
        <v>3</v>
      </c>
      <c r="H37" s="37" t="s">
        <v>12</v>
      </c>
      <c r="I37" s="38" t="s">
        <v>98</v>
      </c>
    </row>
    <row r="38" spans="1:9" ht="15" thickBot="1">
      <c r="A38" s="32" t="s">
        <v>99</v>
      </c>
      <c r="B38" s="39" t="s">
        <v>21</v>
      </c>
      <c r="C38" s="33" t="s">
        <v>12</v>
      </c>
      <c r="D38" s="33" t="s">
        <v>46</v>
      </c>
      <c r="E38" s="34">
        <v>54463</v>
      </c>
      <c r="F38" s="35">
        <v>42253</v>
      </c>
      <c r="G38" s="36">
        <v>4</v>
      </c>
      <c r="H38" s="37" t="s">
        <v>27</v>
      </c>
      <c r="I38" s="38" t="s">
        <v>12</v>
      </c>
    </row>
    <row r="39" spans="1:9" ht="15" thickBot="1">
      <c r="A39" s="32" t="s">
        <v>100</v>
      </c>
      <c r="B39" s="33" t="s">
        <v>21</v>
      </c>
      <c r="C39" s="33" t="s">
        <v>33</v>
      </c>
      <c r="D39" s="33" t="s">
        <v>26</v>
      </c>
      <c r="E39" s="34">
        <v>89781</v>
      </c>
      <c r="F39" s="35">
        <v>42260</v>
      </c>
      <c r="G39" s="36">
        <v>2.9263157894736844</v>
      </c>
      <c r="H39" s="37" t="s">
        <v>35</v>
      </c>
      <c r="I39" s="38" t="s">
        <v>101</v>
      </c>
    </row>
    <row r="40" spans="1:9" ht="15" thickBot="1">
      <c r="A40" s="32" t="s">
        <v>102</v>
      </c>
      <c r="B40" s="33" t="s">
        <v>21</v>
      </c>
      <c r="C40" s="33" t="s">
        <v>16</v>
      </c>
      <c r="D40" s="33" t="s">
        <v>12</v>
      </c>
      <c r="E40" s="34">
        <v>64796</v>
      </c>
      <c r="F40" s="35">
        <v>42267</v>
      </c>
      <c r="G40" s="36">
        <v>2.9263157894736844</v>
      </c>
      <c r="H40" s="37" t="s">
        <v>18</v>
      </c>
      <c r="I40" s="38" t="s">
        <v>103</v>
      </c>
    </row>
    <row r="41" spans="1:9" ht="15" thickBot="1">
      <c r="A41" s="32" t="s">
        <v>104</v>
      </c>
      <c r="B41" s="33" t="s">
        <v>24</v>
      </c>
      <c r="C41" s="33" t="s">
        <v>41</v>
      </c>
      <c r="D41" s="33" t="s">
        <v>46</v>
      </c>
      <c r="E41" s="34">
        <v>52093</v>
      </c>
      <c r="F41" s="35">
        <v>42274</v>
      </c>
      <c r="G41" s="36">
        <v>5</v>
      </c>
      <c r="H41" s="37" t="s">
        <v>12</v>
      </c>
      <c r="I41" s="38" t="s">
        <v>105</v>
      </c>
    </row>
    <row r="42" spans="1:9" ht="15" thickBot="1">
      <c r="A42" s="32" t="s">
        <v>106</v>
      </c>
      <c r="B42" s="33" t="s">
        <v>40</v>
      </c>
      <c r="C42" s="33" t="s">
        <v>16</v>
      </c>
      <c r="D42" s="33" t="s">
        <v>46</v>
      </c>
      <c r="E42" s="34">
        <v>48224</v>
      </c>
      <c r="F42" s="35">
        <v>42281</v>
      </c>
      <c r="G42" s="36">
        <v>3</v>
      </c>
      <c r="H42" s="37" t="s">
        <v>12</v>
      </c>
      <c r="I42" s="38" t="s">
        <v>107</v>
      </c>
    </row>
    <row r="43" spans="1:9" ht="15" thickBot="1">
      <c r="A43" s="32" t="s">
        <v>108</v>
      </c>
      <c r="B43" s="33" t="s">
        <v>53</v>
      </c>
      <c r="C43" s="33" t="s">
        <v>10</v>
      </c>
      <c r="D43" s="33" t="s">
        <v>46</v>
      </c>
      <c r="E43" s="34">
        <v>64268.634615384617</v>
      </c>
      <c r="F43" s="35" t="s">
        <v>12</v>
      </c>
      <c r="G43" s="36">
        <v>4</v>
      </c>
      <c r="H43" s="37" t="s">
        <v>35</v>
      </c>
      <c r="I43" s="38" t="s">
        <v>109</v>
      </c>
    </row>
    <row r="44" spans="1:9" ht="15" thickBot="1">
      <c r="A44" s="32" t="s">
        <v>110</v>
      </c>
      <c r="B44" s="33" t="s">
        <v>21</v>
      </c>
      <c r="C44" s="33" t="s">
        <v>33</v>
      </c>
      <c r="D44" s="33" t="s">
        <v>17</v>
      </c>
      <c r="E44" s="34">
        <v>33956</v>
      </c>
      <c r="F44" s="35">
        <v>42295</v>
      </c>
      <c r="G44" s="36">
        <v>2.8913043478260869</v>
      </c>
      <c r="H44" s="37" t="s">
        <v>12</v>
      </c>
      <c r="I44" s="38" t="s">
        <v>111</v>
      </c>
    </row>
    <row r="45" spans="1:9" ht="15" thickBot="1">
      <c r="A45" s="32" t="s">
        <v>112</v>
      </c>
      <c r="B45" s="39" t="s">
        <v>53</v>
      </c>
      <c r="C45" s="33" t="s">
        <v>12</v>
      </c>
      <c r="D45" s="33" t="s">
        <v>63</v>
      </c>
      <c r="E45" s="34">
        <v>64913</v>
      </c>
      <c r="F45" s="35">
        <v>42302</v>
      </c>
      <c r="G45" s="36">
        <v>1</v>
      </c>
      <c r="H45" s="37" t="s">
        <v>35</v>
      </c>
      <c r="I45" s="38" t="s">
        <v>113</v>
      </c>
    </row>
    <row r="46" spans="1:9" ht="15" thickBot="1">
      <c r="A46" s="32" t="s">
        <v>114</v>
      </c>
      <c r="B46" s="33" t="s">
        <v>21</v>
      </c>
      <c r="C46" s="33" t="s">
        <v>41</v>
      </c>
      <c r="D46" s="33" t="s">
        <v>63</v>
      </c>
      <c r="E46" s="34">
        <v>35326</v>
      </c>
      <c r="F46" s="35">
        <v>42309</v>
      </c>
      <c r="G46" s="36">
        <v>2.912087912087912</v>
      </c>
      <c r="H46" s="37" t="s">
        <v>35</v>
      </c>
      <c r="I46" s="38" t="s">
        <v>115</v>
      </c>
    </row>
    <row r="47" spans="1:9" ht="15" thickBot="1">
      <c r="A47" s="32" t="s">
        <v>116</v>
      </c>
      <c r="B47" s="33" t="s">
        <v>40</v>
      </c>
      <c r="C47" s="33" t="s">
        <v>10</v>
      </c>
      <c r="D47" s="33" t="s">
        <v>12</v>
      </c>
      <c r="E47" s="34">
        <v>81610</v>
      </c>
      <c r="F47" s="35">
        <v>42316</v>
      </c>
      <c r="G47" s="36">
        <v>1</v>
      </c>
      <c r="H47" s="37" t="s">
        <v>12</v>
      </c>
      <c r="I47" s="38" t="s">
        <v>117</v>
      </c>
    </row>
    <row r="48" spans="1:9" ht="15" thickBot="1">
      <c r="A48" s="32" t="s">
        <v>118</v>
      </c>
      <c r="B48" s="33" t="s">
        <v>12</v>
      </c>
      <c r="C48" s="33" t="s">
        <v>16</v>
      </c>
      <c r="D48" s="33" t="s">
        <v>12</v>
      </c>
      <c r="E48" s="34">
        <v>58962</v>
      </c>
      <c r="F48" s="35">
        <v>42323</v>
      </c>
      <c r="G48" s="36">
        <v>3</v>
      </c>
      <c r="H48" s="37" t="s">
        <v>18</v>
      </c>
      <c r="I48" s="38" t="s">
        <v>19</v>
      </c>
    </row>
    <row r="49" spans="1:9" ht="15" thickBot="1">
      <c r="A49" s="32" t="s">
        <v>119</v>
      </c>
      <c r="B49" s="33" t="s">
        <v>40</v>
      </c>
      <c r="C49" s="33" t="s">
        <v>33</v>
      </c>
      <c r="D49" s="33" t="s">
        <v>17</v>
      </c>
      <c r="E49" s="34">
        <v>92701</v>
      </c>
      <c r="F49" s="35">
        <v>42330</v>
      </c>
      <c r="G49" s="36">
        <v>3</v>
      </c>
      <c r="H49" s="37" t="s">
        <v>18</v>
      </c>
      <c r="I49" s="38" t="s">
        <v>120</v>
      </c>
    </row>
    <row r="50" spans="1:9" ht="15" thickBot="1">
      <c r="A50" s="32" t="s">
        <v>121</v>
      </c>
      <c r="B50" s="33" t="s">
        <v>40</v>
      </c>
      <c r="C50" s="33" t="s">
        <v>16</v>
      </c>
      <c r="D50" s="33" t="s">
        <v>34</v>
      </c>
      <c r="E50" s="34">
        <v>58245</v>
      </c>
      <c r="F50" s="35">
        <v>42337</v>
      </c>
      <c r="G50" s="36">
        <v>4</v>
      </c>
      <c r="H50" s="37" t="s">
        <v>12</v>
      </c>
      <c r="I50" s="38" t="s">
        <v>122</v>
      </c>
    </row>
    <row r="51" spans="1:9" ht="15" thickBot="1">
      <c r="A51" s="32" t="s">
        <v>123</v>
      </c>
      <c r="B51" s="33" t="s">
        <v>24</v>
      </c>
      <c r="C51" s="33" t="s">
        <v>10</v>
      </c>
      <c r="D51" s="33" t="s">
        <v>12</v>
      </c>
      <c r="E51" s="34">
        <v>66513</v>
      </c>
      <c r="F51" s="35">
        <v>42344</v>
      </c>
      <c r="G51" s="36">
        <v>2</v>
      </c>
      <c r="H51" s="37" t="s">
        <v>18</v>
      </c>
      <c r="I51" s="38" t="s">
        <v>36</v>
      </c>
    </row>
    <row r="52" spans="1:9" ht="15" thickBot="1">
      <c r="A52" s="32" t="s">
        <v>124</v>
      </c>
      <c r="B52" s="33" t="s">
        <v>15</v>
      </c>
      <c r="C52" s="33" t="s">
        <v>16</v>
      </c>
      <c r="D52" s="33" t="s">
        <v>17</v>
      </c>
      <c r="E52" s="34">
        <v>78720</v>
      </c>
      <c r="F52" s="35">
        <v>42351</v>
      </c>
      <c r="G52" s="36">
        <v>5</v>
      </c>
      <c r="H52" s="37" t="s">
        <v>35</v>
      </c>
      <c r="I52" s="38" t="s">
        <v>109</v>
      </c>
    </row>
    <row r="53" spans="1:9" ht="15" thickBot="1">
      <c r="A53" s="32" t="s">
        <v>125</v>
      </c>
      <c r="B53" s="33" t="s">
        <v>40</v>
      </c>
      <c r="C53" s="33" t="s">
        <v>12</v>
      </c>
      <c r="D53" s="33" t="s">
        <v>12</v>
      </c>
      <c r="E53" s="34">
        <v>30686</v>
      </c>
      <c r="F53" s="35" t="s">
        <v>12</v>
      </c>
      <c r="G53" s="36">
        <v>2</v>
      </c>
      <c r="H53" s="37" t="s">
        <v>35</v>
      </c>
      <c r="I53" s="38" t="s">
        <v>126</v>
      </c>
    </row>
    <row r="54" spans="1:9" ht="15" thickBot="1">
      <c r="A54" s="32" t="s">
        <v>127</v>
      </c>
      <c r="B54" s="33" t="s">
        <v>38</v>
      </c>
      <c r="C54" s="33" t="s">
        <v>25</v>
      </c>
      <c r="D54" s="33" t="s">
        <v>34</v>
      </c>
      <c r="E54" s="34">
        <v>39423</v>
      </c>
      <c r="F54" s="35">
        <v>42365</v>
      </c>
      <c r="G54" s="36">
        <v>5</v>
      </c>
      <c r="H54" s="37" t="s">
        <v>12</v>
      </c>
      <c r="I54" s="38" t="s">
        <v>128</v>
      </c>
    </row>
    <row r="55" spans="1:9" ht="15" thickBot="1">
      <c r="A55" s="32" t="s">
        <v>129</v>
      </c>
      <c r="B55" s="33" t="s">
        <v>15</v>
      </c>
      <c r="C55" s="39" t="s">
        <v>41</v>
      </c>
      <c r="D55" s="33" t="s">
        <v>12</v>
      </c>
      <c r="E55" s="34">
        <v>30280</v>
      </c>
      <c r="F55" s="35">
        <v>42372</v>
      </c>
      <c r="G55" s="36">
        <v>1</v>
      </c>
      <c r="H55" s="37" t="s">
        <v>12</v>
      </c>
      <c r="I55" s="38" t="s">
        <v>130</v>
      </c>
    </row>
    <row r="56" spans="1:9" ht="15" thickBot="1">
      <c r="A56" s="32" t="s">
        <v>131</v>
      </c>
      <c r="B56" s="33" t="s">
        <v>15</v>
      </c>
      <c r="C56" s="33" t="s">
        <v>10</v>
      </c>
      <c r="D56" s="33" t="s">
        <v>46</v>
      </c>
      <c r="E56" s="34">
        <v>33352</v>
      </c>
      <c r="F56" s="35">
        <v>42379</v>
      </c>
      <c r="G56" s="36">
        <v>3</v>
      </c>
      <c r="H56" s="37" t="s">
        <v>35</v>
      </c>
      <c r="I56" s="38" t="s">
        <v>70</v>
      </c>
    </row>
    <row r="57" spans="1:9" ht="15" thickBot="1">
      <c r="A57" s="32" t="s">
        <v>132</v>
      </c>
      <c r="B57" s="33" t="s">
        <v>53</v>
      </c>
      <c r="C57" s="33" t="s">
        <v>41</v>
      </c>
      <c r="D57" s="33" t="s">
        <v>46</v>
      </c>
      <c r="E57" s="34">
        <v>75633</v>
      </c>
      <c r="F57" s="35">
        <v>42386</v>
      </c>
      <c r="G57" s="36">
        <v>5</v>
      </c>
      <c r="H57" s="37" t="s">
        <v>18</v>
      </c>
      <c r="I57" s="38" t="s">
        <v>133</v>
      </c>
    </row>
    <row r="58" spans="1:9" ht="15" thickBot="1">
      <c r="A58" s="32" t="s">
        <v>134</v>
      </c>
      <c r="B58" s="33" t="s">
        <v>40</v>
      </c>
      <c r="C58" s="33" t="s">
        <v>12</v>
      </c>
      <c r="D58" s="33" t="s">
        <v>26</v>
      </c>
      <c r="E58" s="34">
        <v>74815</v>
      </c>
      <c r="F58" s="35">
        <v>42393</v>
      </c>
      <c r="G58" s="36">
        <v>5</v>
      </c>
      <c r="H58" s="37" t="s">
        <v>35</v>
      </c>
      <c r="I58" s="38" t="s">
        <v>135</v>
      </c>
    </row>
    <row r="59" spans="1:9" ht="15" thickBot="1">
      <c r="A59" s="32" t="s">
        <v>136</v>
      </c>
      <c r="B59" s="33" t="s">
        <v>24</v>
      </c>
      <c r="C59" s="33" t="s">
        <v>25</v>
      </c>
      <c r="D59" s="33" t="s">
        <v>63</v>
      </c>
      <c r="E59" s="34">
        <v>60011</v>
      </c>
      <c r="F59" s="35">
        <v>42400</v>
      </c>
      <c r="G59" s="36">
        <v>1</v>
      </c>
      <c r="H59" s="37" t="s">
        <v>27</v>
      </c>
      <c r="I59" s="38" t="s">
        <v>137</v>
      </c>
    </row>
    <row r="60" spans="1:9" ht="15" thickBot="1">
      <c r="A60" s="32" t="s">
        <v>138</v>
      </c>
      <c r="B60" s="39" t="s">
        <v>15</v>
      </c>
      <c r="C60" s="33" t="s">
        <v>12</v>
      </c>
      <c r="D60" s="33" t="s">
        <v>34</v>
      </c>
      <c r="E60" s="34">
        <v>96949</v>
      </c>
      <c r="F60" s="35">
        <v>42407</v>
      </c>
      <c r="G60" s="36">
        <v>3</v>
      </c>
      <c r="H60" s="37" t="s">
        <v>12</v>
      </c>
      <c r="I60" s="38" t="s">
        <v>84</v>
      </c>
    </row>
    <row r="61" spans="1:9" ht="15" thickBot="1">
      <c r="A61" s="32" t="s">
        <v>139</v>
      </c>
      <c r="B61" s="33" t="s">
        <v>38</v>
      </c>
      <c r="C61" s="39" t="s">
        <v>41</v>
      </c>
      <c r="D61" s="33" t="s">
        <v>12</v>
      </c>
      <c r="E61" s="34">
        <v>84924</v>
      </c>
      <c r="F61" s="35">
        <v>42414</v>
      </c>
      <c r="G61" s="36">
        <v>5</v>
      </c>
      <c r="H61" s="37" t="s">
        <v>27</v>
      </c>
      <c r="I61" s="38" t="s">
        <v>140</v>
      </c>
    </row>
    <row r="62" spans="1:9" ht="15" thickBot="1">
      <c r="A62" s="32" t="s">
        <v>141</v>
      </c>
      <c r="B62" s="33" t="s">
        <v>38</v>
      </c>
      <c r="C62" s="33" t="s">
        <v>10</v>
      </c>
      <c r="D62" s="33" t="s">
        <v>26</v>
      </c>
      <c r="E62" s="34">
        <v>82033</v>
      </c>
      <c r="F62" s="35">
        <v>42421</v>
      </c>
      <c r="G62" s="36">
        <v>1</v>
      </c>
      <c r="H62" s="37" t="s">
        <v>12</v>
      </c>
      <c r="I62" s="38" t="s">
        <v>117</v>
      </c>
    </row>
    <row r="63" spans="1:9" ht="15" thickBot="1">
      <c r="A63" s="32" t="s">
        <v>142</v>
      </c>
      <c r="B63" s="33" t="s">
        <v>12</v>
      </c>
      <c r="C63" s="33" t="s">
        <v>41</v>
      </c>
      <c r="D63" s="33" t="s">
        <v>17</v>
      </c>
      <c r="E63" s="34">
        <v>64763.364705882355</v>
      </c>
      <c r="F63" s="35" t="s">
        <v>12</v>
      </c>
      <c r="G63" s="36">
        <v>5</v>
      </c>
      <c r="H63" s="37" t="s">
        <v>12</v>
      </c>
      <c r="I63" s="38" t="s">
        <v>143</v>
      </c>
    </row>
    <row r="64" spans="1:9" ht="15" thickBot="1">
      <c r="A64" s="32" t="s">
        <v>144</v>
      </c>
      <c r="B64" s="39" t="s">
        <v>15</v>
      </c>
      <c r="C64" s="33" t="s">
        <v>12</v>
      </c>
      <c r="D64" s="33" t="s">
        <v>63</v>
      </c>
      <c r="E64" s="34">
        <v>31499</v>
      </c>
      <c r="F64" s="35">
        <v>42435</v>
      </c>
      <c r="G64" s="36">
        <v>2</v>
      </c>
      <c r="H64" s="37" t="s">
        <v>12</v>
      </c>
      <c r="I64" s="38" t="s">
        <v>101</v>
      </c>
    </row>
    <row r="65" spans="1:9" ht="15" thickBot="1">
      <c r="A65" s="32" t="s">
        <v>145</v>
      </c>
      <c r="B65" s="33" t="s">
        <v>40</v>
      </c>
      <c r="C65" s="33" t="s">
        <v>33</v>
      </c>
      <c r="D65" s="33" t="s">
        <v>46</v>
      </c>
      <c r="E65" s="34">
        <v>97981</v>
      </c>
      <c r="F65" s="35">
        <v>42442</v>
      </c>
      <c r="G65" s="36">
        <v>5</v>
      </c>
      <c r="H65" s="37" t="s">
        <v>35</v>
      </c>
      <c r="I65" s="38" t="s">
        <v>146</v>
      </c>
    </row>
    <row r="66" spans="1:9" ht="15" thickBot="1">
      <c r="A66" s="32" t="s">
        <v>147</v>
      </c>
      <c r="B66" s="33" t="s">
        <v>15</v>
      </c>
      <c r="C66" s="33" t="s">
        <v>16</v>
      </c>
      <c r="D66" s="33" t="s">
        <v>26</v>
      </c>
      <c r="E66" s="34">
        <v>36541</v>
      </c>
      <c r="F66" s="35">
        <v>42449</v>
      </c>
      <c r="G66" s="36">
        <v>2</v>
      </c>
      <c r="H66" s="37" t="s">
        <v>18</v>
      </c>
      <c r="I66" s="38" t="s">
        <v>148</v>
      </c>
    </row>
    <row r="67" spans="1:9" ht="15" thickBot="1">
      <c r="A67" s="32" t="s">
        <v>149</v>
      </c>
      <c r="B67" s="33" t="s">
        <v>24</v>
      </c>
      <c r="C67" s="33" t="s">
        <v>33</v>
      </c>
      <c r="D67" s="33" t="s">
        <v>34</v>
      </c>
      <c r="E67" s="34">
        <v>84737</v>
      </c>
      <c r="F67" s="35">
        <v>42456</v>
      </c>
      <c r="G67" s="36">
        <v>1</v>
      </c>
      <c r="H67" s="37" t="s">
        <v>27</v>
      </c>
      <c r="I67" s="38" t="s">
        <v>150</v>
      </c>
    </row>
    <row r="68" spans="1:9" ht="15" thickBot="1">
      <c r="A68" s="32" t="s">
        <v>151</v>
      </c>
      <c r="B68" s="33" t="s">
        <v>38</v>
      </c>
      <c r="C68" s="33" t="s">
        <v>10</v>
      </c>
      <c r="D68" s="33" t="s">
        <v>34</v>
      </c>
      <c r="E68" s="34">
        <v>33468</v>
      </c>
      <c r="F68" s="35">
        <v>42463</v>
      </c>
      <c r="G68" s="36">
        <v>4</v>
      </c>
      <c r="H68" s="37" t="s">
        <v>27</v>
      </c>
      <c r="I68" s="38" t="s">
        <v>152</v>
      </c>
    </row>
    <row r="69" spans="1:9" ht="15" thickBot="1">
      <c r="A69" s="32" t="s">
        <v>153</v>
      </c>
      <c r="B69" s="39" t="s">
        <v>38</v>
      </c>
      <c r="C69" s="33" t="s">
        <v>12</v>
      </c>
      <c r="D69" s="33" t="s">
        <v>63</v>
      </c>
      <c r="E69" s="34">
        <v>96365</v>
      </c>
      <c r="F69" s="35">
        <v>42470</v>
      </c>
      <c r="G69" s="36">
        <v>3</v>
      </c>
      <c r="H69" s="37" t="s">
        <v>18</v>
      </c>
      <c r="I69" s="38" t="s">
        <v>154</v>
      </c>
    </row>
    <row r="70" spans="1:9" ht="15" thickBot="1">
      <c r="A70" s="32" t="s">
        <v>155</v>
      </c>
      <c r="B70" s="33" t="s">
        <v>21</v>
      </c>
      <c r="C70" s="33" t="s">
        <v>25</v>
      </c>
      <c r="D70" s="33" t="s">
        <v>34</v>
      </c>
      <c r="E70" s="34">
        <v>61942</v>
      </c>
      <c r="F70" s="35">
        <v>42477</v>
      </c>
      <c r="G70" s="36">
        <v>3</v>
      </c>
      <c r="H70" s="37" t="s">
        <v>35</v>
      </c>
      <c r="I70" s="38" t="s">
        <v>156</v>
      </c>
    </row>
    <row r="71" spans="1:9" ht="15" thickBot="1">
      <c r="A71" s="32" t="s">
        <v>157</v>
      </c>
      <c r="B71" s="33" t="s">
        <v>38</v>
      </c>
      <c r="C71" s="33" t="s">
        <v>10</v>
      </c>
      <c r="D71" s="33" t="s">
        <v>46</v>
      </c>
      <c r="E71" s="34">
        <v>41467</v>
      </c>
      <c r="F71" s="35">
        <v>42484</v>
      </c>
      <c r="G71" s="36">
        <v>2</v>
      </c>
      <c r="H71" s="37" t="s">
        <v>12</v>
      </c>
      <c r="I71" s="38" t="s">
        <v>72</v>
      </c>
    </row>
    <row r="72" spans="1:9" ht="15" thickBot="1">
      <c r="A72" s="32" t="s">
        <v>158</v>
      </c>
      <c r="B72" s="33" t="s">
        <v>53</v>
      </c>
      <c r="C72" s="33" t="s">
        <v>10</v>
      </c>
      <c r="D72" s="33" t="s">
        <v>34</v>
      </c>
      <c r="E72" s="34">
        <v>77096</v>
      </c>
      <c r="F72" s="35">
        <v>42491</v>
      </c>
      <c r="G72" s="36">
        <v>1</v>
      </c>
      <c r="H72" s="37" t="s">
        <v>12</v>
      </c>
      <c r="I72" s="38" t="s">
        <v>159</v>
      </c>
    </row>
    <row r="73" spans="1:9" ht="15" thickBot="1">
      <c r="A73" s="32" t="s">
        <v>160</v>
      </c>
      <c r="B73" s="33" t="s">
        <v>15</v>
      </c>
      <c r="C73" s="33" t="s">
        <v>25</v>
      </c>
      <c r="D73" s="33" t="s">
        <v>63</v>
      </c>
      <c r="E73" s="34">
        <v>69952</v>
      </c>
      <c r="F73" s="35">
        <v>42498</v>
      </c>
      <c r="G73" s="36">
        <v>5</v>
      </c>
      <c r="H73" s="37" t="s">
        <v>35</v>
      </c>
      <c r="I73" s="38" t="s">
        <v>12</v>
      </c>
    </row>
    <row r="74" spans="1:9" ht="15" thickBot="1">
      <c r="A74" s="32" t="s">
        <v>161</v>
      </c>
      <c r="B74" s="33" t="s">
        <v>15</v>
      </c>
      <c r="C74" s="33" t="s">
        <v>41</v>
      </c>
      <c r="D74" s="33" t="s">
        <v>26</v>
      </c>
      <c r="E74" s="34">
        <v>85065</v>
      </c>
      <c r="F74" s="35">
        <v>42505</v>
      </c>
      <c r="G74" s="36">
        <v>3</v>
      </c>
      <c r="H74" s="37" t="s">
        <v>12</v>
      </c>
      <c r="I74" s="38" t="s">
        <v>162</v>
      </c>
    </row>
    <row r="75" spans="1:9" ht="15" thickBot="1">
      <c r="A75" s="32" t="s">
        <v>163</v>
      </c>
      <c r="B75" s="33" t="s">
        <v>53</v>
      </c>
      <c r="C75" s="33" t="s">
        <v>41</v>
      </c>
      <c r="D75" s="33" t="s">
        <v>34</v>
      </c>
      <c r="E75" s="34">
        <v>56512</v>
      </c>
      <c r="F75" s="35">
        <v>42512</v>
      </c>
      <c r="G75" s="36">
        <v>2.8571428571428572</v>
      </c>
      <c r="H75" s="37" t="s">
        <v>18</v>
      </c>
      <c r="I75" s="38" t="s">
        <v>47</v>
      </c>
    </row>
    <row r="76" spans="1:9" ht="15" thickBot="1">
      <c r="A76" s="32" t="s">
        <v>164</v>
      </c>
      <c r="B76" s="33" t="s">
        <v>24</v>
      </c>
      <c r="C76" s="33" t="s">
        <v>25</v>
      </c>
      <c r="D76" s="33" t="s">
        <v>34</v>
      </c>
      <c r="E76" s="34">
        <v>91101</v>
      </c>
      <c r="F76" s="35">
        <v>42519</v>
      </c>
      <c r="G76" s="36">
        <v>4</v>
      </c>
      <c r="H76" s="37" t="s">
        <v>35</v>
      </c>
      <c r="I76" s="38" t="s">
        <v>146</v>
      </c>
    </row>
    <row r="77" spans="1:9" ht="15" thickBot="1">
      <c r="A77" s="32" t="s">
        <v>165</v>
      </c>
      <c r="B77" s="39" t="s">
        <v>38</v>
      </c>
      <c r="C77" s="33" t="s">
        <v>12</v>
      </c>
      <c r="D77" s="33" t="s">
        <v>17</v>
      </c>
      <c r="E77" s="34">
        <v>41243</v>
      </c>
      <c r="F77" s="35">
        <v>42526</v>
      </c>
      <c r="G77" s="36">
        <v>2.838709677419355</v>
      </c>
      <c r="H77" s="37" t="s">
        <v>12</v>
      </c>
      <c r="I77" s="38" t="s">
        <v>92</v>
      </c>
    </row>
    <row r="78" spans="1:9" ht="15" thickBot="1">
      <c r="A78" s="32" t="s">
        <v>166</v>
      </c>
      <c r="B78" s="33" t="s">
        <v>12</v>
      </c>
      <c r="C78" s="33" t="s">
        <v>25</v>
      </c>
      <c r="D78" s="33" t="s">
        <v>12</v>
      </c>
      <c r="E78" s="34">
        <v>96142</v>
      </c>
      <c r="F78" s="35">
        <v>42533</v>
      </c>
      <c r="G78" s="36">
        <v>1</v>
      </c>
      <c r="H78" s="37" t="s">
        <v>18</v>
      </c>
      <c r="I78" s="38" t="s">
        <v>167</v>
      </c>
    </row>
    <row r="79" spans="1:9" ht="15" thickBot="1">
      <c r="A79" s="32" t="s">
        <v>168</v>
      </c>
      <c r="B79" s="33" t="s">
        <v>15</v>
      </c>
      <c r="C79" s="33" t="s">
        <v>33</v>
      </c>
      <c r="D79" s="33" t="s">
        <v>34</v>
      </c>
      <c r="E79" s="34">
        <v>94301</v>
      </c>
      <c r="F79" s="35">
        <v>42540</v>
      </c>
      <c r="G79" s="36">
        <v>1</v>
      </c>
      <c r="H79" s="37" t="s">
        <v>27</v>
      </c>
      <c r="I79" s="38" t="s">
        <v>117</v>
      </c>
    </row>
    <row r="80" spans="1:9" ht="15" thickBot="1">
      <c r="A80" s="32" t="s">
        <v>169</v>
      </c>
      <c r="B80" s="39" t="s">
        <v>30</v>
      </c>
      <c r="C80" s="33" t="s">
        <v>12</v>
      </c>
      <c r="D80" s="33" t="s">
        <v>46</v>
      </c>
      <c r="E80" s="34">
        <v>69166</v>
      </c>
      <c r="F80" s="35">
        <v>42547</v>
      </c>
      <c r="G80" s="36">
        <v>1</v>
      </c>
      <c r="H80" s="37" t="s">
        <v>35</v>
      </c>
      <c r="I80" s="38" t="s">
        <v>170</v>
      </c>
    </row>
    <row r="81" spans="1:9" ht="15" thickBot="1">
      <c r="A81" s="32" t="s">
        <v>171</v>
      </c>
      <c r="B81" s="39" t="s">
        <v>38</v>
      </c>
      <c r="C81" s="33" t="s">
        <v>12</v>
      </c>
      <c r="D81" s="33" t="s">
        <v>46</v>
      </c>
      <c r="E81" s="34">
        <v>78245</v>
      </c>
      <c r="F81" s="35">
        <v>42554</v>
      </c>
      <c r="G81" s="36">
        <v>2</v>
      </c>
      <c r="H81" s="37" t="s">
        <v>12</v>
      </c>
      <c r="I81" s="38" t="s">
        <v>172</v>
      </c>
    </row>
    <row r="82" spans="1:9" ht="15" thickBot="1">
      <c r="A82" s="32" t="s">
        <v>173</v>
      </c>
      <c r="B82" s="33" t="s">
        <v>40</v>
      </c>
      <c r="C82" s="33" t="s">
        <v>25</v>
      </c>
      <c r="D82" s="33" t="s">
        <v>26</v>
      </c>
      <c r="E82" s="34">
        <v>66079</v>
      </c>
      <c r="F82" s="35">
        <v>42561</v>
      </c>
      <c r="G82" s="36">
        <v>2</v>
      </c>
      <c r="H82" s="37" t="s">
        <v>18</v>
      </c>
      <c r="I82" s="38" t="s">
        <v>174</v>
      </c>
    </row>
    <row r="83" spans="1:9" ht="15" thickBot="1">
      <c r="A83" s="32" t="s">
        <v>175</v>
      </c>
      <c r="B83" s="33" t="s">
        <v>15</v>
      </c>
      <c r="C83" s="33" t="s">
        <v>41</v>
      </c>
      <c r="D83" s="33" t="s">
        <v>34</v>
      </c>
      <c r="E83" s="34">
        <v>63575.515151515152</v>
      </c>
      <c r="F83" s="35" t="s">
        <v>12</v>
      </c>
      <c r="G83" s="36">
        <v>2.9649122807017543</v>
      </c>
      <c r="H83" s="37" t="s">
        <v>12</v>
      </c>
      <c r="I83" s="38" t="s">
        <v>86</v>
      </c>
    </row>
    <row r="84" spans="1:9" ht="15" thickBot="1">
      <c r="A84" s="32" t="s">
        <v>176</v>
      </c>
      <c r="B84" s="33" t="s">
        <v>30</v>
      </c>
      <c r="C84" s="33" t="s">
        <v>25</v>
      </c>
      <c r="D84" s="33" t="s">
        <v>26</v>
      </c>
      <c r="E84" s="34">
        <v>95621</v>
      </c>
      <c r="F84" s="35">
        <v>42575</v>
      </c>
      <c r="G84" s="36">
        <v>3</v>
      </c>
      <c r="H84" s="37" t="s">
        <v>35</v>
      </c>
      <c r="I84" s="38" t="s">
        <v>177</v>
      </c>
    </row>
    <row r="85" spans="1:9" ht="15" thickBot="1">
      <c r="A85" s="32" t="s">
        <v>178</v>
      </c>
      <c r="B85" s="33" t="s">
        <v>15</v>
      </c>
      <c r="C85" s="33" t="s">
        <v>33</v>
      </c>
      <c r="D85" s="33" t="s">
        <v>46</v>
      </c>
      <c r="E85" s="34">
        <v>42262</v>
      </c>
      <c r="F85" s="35">
        <v>42582</v>
      </c>
      <c r="G85" s="36">
        <v>1</v>
      </c>
      <c r="H85" s="37" t="s">
        <v>12</v>
      </c>
      <c r="I85" s="38" t="s">
        <v>179</v>
      </c>
    </row>
    <row r="86" spans="1:9" ht="15" thickBot="1">
      <c r="A86" s="32" t="s">
        <v>180</v>
      </c>
      <c r="B86" s="33" t="s">
        <v>38</v>
      </c>
      <c r="C86" s="33" t="s">
        <v>25</v>
      </c>
      <c r="D86" s="33" t="s">
        <v>34</v>
      </c>
      <c r="E86" s="34">
        <v>99621</v>
      </c>
      <c r="F86" s="35">
        <v>42589</v>
      </c>
      <c r="G86" s="36">
        <v>3</v>
      </c>
      <c r="H86" s="37" t="s">
        <v>18</v>
      </c>
      <c r="I86" s="38" t="s">
        <v>181</v>
      </c>
    </row>
    <row r="87" spans="1:9" ht="15" thickBot="1">
      <c r="A87" s="32" t="s">
        <v>182</v>
      </c>
      <c r="B87" s="33" t="s">
        <v>24</v>
      </c>
      <c r="C87" s="33" t="s">
        <v>41</v>
      </c>
      <c r="D87" s="33" t="s">
        <v>34</v>
      </c>
      <c r="E87" s="34">
        <v>44682</v>
      </c>
      <c r="F87" s="35">
        <v>42596</v>
      </c>
      <c r="G87" s="36">
        <v>4</v>
      </c>
      <c r="H87" s="37" t="s">
        <v>35</v>
      </c>
      <c r="I87" s="38" t="s">
        <v>111</v>
      </c>
    </row>
    <row r="88" spans="1:9" ht="15" thickBot="1">
      <c r="A88" s="32" t="s">
        <v>183</v>
      </c>
      <c r="B88" s="33" t="s">
        <v>40</v>
      </c>
      <c r="C88" s="33" t="s">
        <v>10</v>
      </c>
      <c r="D88" s="33" t="s">
        <v>12</v>
      </c>
      <c r="E88" s="34">
        <v>35163</v>
      </c>
      <c r="F88" s="35">
        <v>42603</v>
      </c>
      <c r="G88" s="36">
        <v>5</v>
      </c>
      <c r="H88" s="37" t="s">
        <v>18</v>
      </c>
      <c r="I88" s="38" t="s">
        <v>184</v>
      </c>
    </row>
    <row r="89" spans="1:9" ht="15" thickBot="1">
      <c r="A89" s="32" t="s">
        <v>185</v>
      </c>
      <c r="B89" s="33" t="s">
        <v>40</v>
      </c>
      <c r="C89" s="33" t="s">
        <v>33</v>
      </c>
      <c r="D89" s="33" t="s">
        <v>34</v>
      </c>
      <c r="E89" s="34">
        <v>33483</v>
      </c>
      <c r="F89" s="35">
        <v>42610</v>
      </c>
      <c r="G89" s="36">
        <v>4</v>
      </c>
      <c r="H89" s="37" t="s">
        <v>27</v>
      </c>
      <c r="I89" s="38" t="s">
        <v>186</v>
      </c>
    </row>
    <row r="90" spans="1:9" ht="15" thickBot="1">
      <c r="A90" s="32" t="s">
        <v>187</v>
      </c>
      <c r="B90" s="33" t="s">
        <v>38</v>
      </c>
      <c r="C90" s="33" t="s">
        <v>16</v>
      </c>
      <c r="D90" s="33" t="s">
        <v>17</v>
      </c>
      <c r="E90" s="34">
        <v>55303</v>
      </c>
      <c r="F90" s="35">
        <v>42617</v>
      </c>
      <c r="G90" s="36">
        <v>4</v>
      </c>
      <c r="H90" s="37" t="s">
        <v>27</v>
      </c>
      <c r="I90" s="38" t="s">
        <v>76</v>
      </c>
    </row>
    <row r="91" spans="1:9" ht="15" thickBot="1">
      <c r="A91" s="32" t="s">
        <v>188</v>
      </c>
      <c r="B91" s="33" t="s">
        <v>40</v>
      </c>
      <c r="C91" s="33" t="s">
        <v>33</v>
      </c>
      <c r="D91" s="33" t="s">
        <v>12</v>
      </c>
      <c r="E91" s="34">
        <v>63434</v>
      </c>
      <c r="F91" s="35">
        <v>42624</v>
      </c>
      <c r="G91" s="36">
        <v>3</v>
      </c>
      <c r="H91" s="37" t="s">
        <v>12</v>
      </c>
      <c r="I91" s="38" t="s">
        <v>189</v>
      </c>
    </row>
    <row r="92" spans="1:9" ht="15" thickBot="1">
      <c r="A92" s="32" t="s">
        <v>190</v>
      </c>
      <c r="B92" s="39" t="s">
        <v>30</v>
      </c>
      <c r="C92" s="33" t="s">
        <v>12</v>
      </c>
      <c r="D92" s="33" t="s">
        <v>63</v>
      </c>
      <c r="E92" s="34">
        <v>38830</v>
      </c>
      <c r="F92" s="35">
        <v>42631</v>
      </c>
      <c r="G92" s="36">
        <v>3</v>
      </c>
      <c r="H92" s="37" t="s">
        <v>18</v>
      </c>
      <c r="I92" s="38" t="s">
        <v>76</v>
      </c>
    </row>
    <row r="93" spans="1:9" ht="15" thickBot="1">
      <c r="A93" s="32" t="s">
        <v>191</v>
      </c>
      <c r="B93" s="33" t="s">
        <v>12</v>
      </c>
      <c r="C93" s="33" t="s">
        <v>41</v>
      </c>
      <c r="D93" s="33" t="s">
        <v>46</v>
      </c>
      <c r="E93" s="34">
        <v>50741</v>
      </c>
      <c r="F93" s="35">
        <v>42638</v>
      </c>
      <c r="G93" s="36">
        <v>3</v>
      </c>
      <c r="H93" s="37" t="s">
        <v>12</v>
      </c>
      <c r="I93" s="38" t="s">
        <v>159</v>
      </c>
    </row>
    <row r="94" spans="1:9" ht="15" thickBot="1">
      <c r="A94" s="32" t="s">
        <v>192</v>
      </c>
      <c r="B94" s="33" t="s">
        <v>21</v>
      </c>
      <c r="C94" s="33" t="s">
        <v>16</v>
      </c>
      <c r="D94" s="33" t="s">
        <v>63</v>
      </c>
      <c r="E94" s="34">
        <v>69420</v>
      </c>
      <c r="F94" s="35">
        <v>42645</v>
      </c>
      <c r="G94" s="36">
        <v>1</v>
      </c>
      <c r="H94" s="37" t="s">
        <v>27</v>
      </c>
      <c r="I94" s="38" t="s">
        <v>122</v>
      </c>
    </row>
    <row r="95" spans="1:9" ht="15" thickBot="1">
      <c r="A95" s="32" t="s">
        <v>193</v>
      </c>
      <c r="B95" s="33" t="s">
        <v>30</v>
      </c>
      <c r="C95" s="33" t="s">
        <v>33</v>
      </c>
      <c r="D95" s="33" t="s">
        <v>12</v>
      </c>
      <c r="E95" s="34">
        <v>80588</v>
      </c>
      <c r="F95" s="35">
        <v>42652</v>
      </c>
      <c r="G95" s="36">
        <v>5</v>
      </c>
      <c r="H95" s="37" t="s">
        <v>27</v>
      </c>
      <c r="I95" s="38" t="s">
        <v>103</v>
      </c>
    </row>
    <row r="96" spans="1:9" ht="15" thickBot="1">
      <c r="A96" s="32" t="s">
        <v>194</v>
      </c>
      <c r="B96" s="39" t="s">
        <v>21</v>
      </c>
      <c r="C96" s="33" t="s">
        <v>12</v>
      </c>
      <c r="D96" s="33" t="s">
        <v>26</v>
      </c>
      <c r="E96" s="34">
        <v>76238</v>
      </c>
      <c r="F96" s="35">
        <v>42659</v>
      </c>
      <c r="G96" s="36">
        <v>4</v>
      </c>
      <c r="H96" s="37" t="s">
        <v>27</v>
      </c>
      <c r="I96" s="38" t="s">
        <v>195</v>
      </c>
    </row>
    <row r="97" spans="1:9" ht="15" thickBot="1">
      <c r="A97" s="32" t="s">
        <v>196</v>
      </c>
      <c r="B97" s="33" t="s">
        <v>53</v>
      </c>
      <c r="C97" s="33" t="s">
        <v>33</v>
      </c>
      <c r="D97" s="33" t="s">
        <v>34</v>
      </c>
      <c r="E97" s="34">
        <v>33264</v>
      </c>
      <c r="F97" s="35">
        <v>42666</v>
      </c>
      <c r="G97" s="36">
        <v>2.8666666666666667</v>
      </c>
      <c r="H97" s="37" t="s">
        <v>35</v>
      </c>
      <c r="I97" s="38" t="s">
        <v>197</v>
      </c>
    </row>
    <row r="98" spans="1:9" ht="15" thickBot="1">
      <c r="A98" s="32" t="s">
        <v>198</v>
      </c>
      <c r="B98" s="33" t="s">
        <v>21</v>
      </c>
      <c r="C98" s="33" t="s">
        <v>10</v>
      </c>
      <c r="D98" s="33" t="s">
        <v>63</v>
      </c>
      <c r="E98" s="34">
        <v>96101</v>
      </c>
      <c r="F98" s="35">
        <v>42673</v>
      </c>
      <c r="G98" s="36">
        <v>2.8666666666666667</v>
      </c>
      <c r="H98" s="37" t="s">
        <v>18</v>
      </c>
      <c r="I98" s="38" t="s">
        <v>199</v>
      </c>
    </row>
    <row r="99" spans="1:9" ht="15" thickBot="1">
      <c r="A99" s="32" t="s">
        <v>200</v>
      </c>
      <c r="B99" s="33" t="s">
        <v>30</v>
      </c>
      <c r="C99" s="33" t="s">
        <v>10</v>
      </c>
      <c r="D99" s="33" t="s">
        <v>26</v>
      </c>
      <c r="E99" s="34">
        <v>72939</v>
      </c>
      <c r="F99" s="35">
        <v>42680</v>
      </c>
      <c r="G99" s="36">
        <v>3</v>
      </c>
      <c r="H99" s="37" t="s">
        <v>12</v>
      </c>
      <c r="I99" s="38" t="s">
        <v>201</v>
      </c>
    </row>
    <row r="100" spans="1:9" ht="15" thickBot="1">
      <c r="A100" s="32" t="s">
        <v>202</v>
      </c>
      <c r="B100" s="33" t="s">
        <v>38</v>
      </c>
      <c r="C100" s="33" t="s">
        <v>16</v>
      </c>
      <c r="D100" s="33" t="s">
        <v>17</v>
      </c>
      <c r="E100" s="34">
        <v>89333</v>
      </c>
      <c r="F100" s="35">
        <v>42687</v>
      </c>
      <c r="G100" s="36">
        <v>1</v>
      </c>
      <c r="H100" s="37" t="s">
        <v>27</v>
      </c>
      <c r="I100" s="38" t="s">
        <v>203</v>
      </c>
    </row>
    <row r="101" spans="1:9" ht="15" thickBot="1">
      <c r="A101" s="32" t="s">
        <v>204</v>
      </c>
      <c r="B101" s="33" t="s">
        <v>53</v>
      </c>
      <c r="C101" s="33" t="s">
        <v>33</v>
      </c>
      <c r="D101" s="33" t="s">
        <v>63</v>
      </c>
      <c r="E101" s="34">
        <v>70470</v>
      </c>
      <c r="F101" s="35">
        <v>42694</v>
      </c>
      <c r="G101" s="36">
        <v>2.9069767441860463</v>
      </c>
      <c r="H101" s="37" t="s">
        <v>27</v>
      </c>
      <c r="I101" s="38" t="s">
        <v>205</v>
      </c>
    </row>
    <row r="102" spans="1:9" ht="15" thickBot="1">
      <c r="A102" s="32" t="s">
        <v>206</v>
      </c>
      <c r="B102" s="33" t="s">
        <v>15</v>
      </c>
      <c r="C102" s="33" t="s">
        <v>41</v>
      </c>
      <c r="D102" s="33" t="s">
        <v>26</v>
      </c>
      <c r="E102" s="34">
        <v>70096</v>
      </c>
      <c r="F102" s="35">
        <v>42701</v>
      </c>
      <c r="G102" s="36">
        <v>4</v>
      </c>
      <c r="H102" s="37" t="s">
        <v>27</v>
      </c>
      <c r="I102" s="38" t="s">
        <v>207</v>
      </c>
    </row>
    <row r="103" spans="1:9" ht="15" thickBot="1">
      <c r="A103" s="32" t="s">
        <v>208</v>
      </c>
      <c r="B103" s="33" t="s">
        <v>53</v>
      </c>
      <c r="C103" s="33" t="s">
        <v>41</v>
      </c>
      <c r="D103" s="33" t="s">
        <v>12</v>
      </c>
      <c r="E103" s="34">
        <v>63370.106382978724</v>
      </c>
      <c r="F103" s="35">
        <v>42708</v>
      </c>
      <c r="G103" s="36">
        <v>2</v>
      </c>
      <c r="H103" s="37" t="s">
        <v>18</v>
      </c>
      <c r="I103" s="38" t="s">
        <v>209</v>
      </c>
    </row>
    <row r="104" spans="1:9" ht="15" thickBot="1">
      <c r="A104" s="32" t="s">
        <v>210</v>
      </c>
      <c r="B104" s="33" t="s">
        <v>53</v>
      </c>
      <c r="C104" s="33" t="s">
        <v>33</v>
      </c>
      <c r="D104" s="33" t="s">
        <v>17</v>
      </c>
      <c r="E104" s="34">
        <v>66503</v>
      </c>
      <c r="F104" s="35">
        <v>42715</v>
      </c>
      <c r="G104" s="36">
        <v>2.9024390243902438</v>
      </c>
      <c r="H104" s="37" t="s">
        <v>27</v>
      </c>
      <c r="I104" s="38" t="s">
        <v>70</v>
      </c>
    </row>
    <row r="105" spans="1:9" ht="15" thickBot="1">
      <c r="A105" s="32" t="s">
        <v>211</v>
      </c>
      <c r="B105" s="33" t="s">
        <v>21</v>
      </c>
      <c r="C105" s="33" t="s">
        <v>16</v>
      </c>
      <c r="D105" s="33" t="s">
        <v>17</v>
      </c>
      <c r="E105" s="34">
        <v>42096</v>
      </c>
      <c r="F105" s="35">
        <v>42722</v>
      </c>
      <c r="G105" s="36">
        <v>2.9024390243902438</v>
      </c>
      <c r="H105" s="37" t="s">
        <v>35</v>
      </c>
      <c r="I105" s="38" t="s">
        <v>212</v>
      </c>
    </row>
    <row r="106" spans="1:9" ht="15" thickBot="1">
      <c r="A106" s="32" t="s">
        <v>213</v>
      </c>
      <c r="B106" s="33" t="s">
        <v>21</v>
      </c>
      <c r="C106" s="39" t="s">
        <v>41</v>
      </c>
      <c r="D106" s="33" t="s">
        <v>12</v>
      </c>
      <c r="E106" s="34">
        <v>79145</v>
      </c>
      <c r="F106" s="35">
        <v>42729</v>
      </c>
      <c r="G106" s="36">
        <v>5</v>
      </c>
      <c r="H106" s="37" t="s">
        <v>18</v>
      </c>
      <c r="I106" s="38" t="s">
        <v>117</v>
      </c>
    </row>
    <row r="107" spans="1:9" ht="15" thickBot="1">
      <c r="A107" s="32" t="s">
        <v>214</v>
      </c>
      <c r="B107" s="39" t="s">
        <v>30</v>
      </c>
      <c r="C107" s="33" t="s">
        <v>12</v>
      </c>
      <c r="D107" s="33" t="s">
        <v>63</v>
      </c>
      <c r="E107" s="34">
        <v>61556</v>
      </c>
      <c r="F107" s="35">
        <v>42736</v>
      </c>
      <c r="G107" s="36">
        <v>1</v>
      </c>
      <c r="H107" s="37" t="s">
        <v>12</v>
      </c>
      <c r="I107" s="38" t="s">
        <v>209</v>
      </c>
    </row>
    <row r="108" spans="1:9" ht="15" thickBot="1">
      <c r="A108" s="32" t="s">
        <v>215</v>
      </c>
      <c r="B108" s="33" t="s">
        <v>12</v>
      </c>
      <c r="C108" s="33" t="s">
        <v>16</v>
      </c>
      <c r="D108" s="33" t="s">
        <v>46</v>
      </c>
      <c r="E108" s="34">
        <v>87963</v>
      </c>
      <c r="F108" s="35">
        <v>42743</v>
      </c>
      <c r="G108" s="36">
        <v>3</v>
      </c>
      <c r="H108" s="37" t="s">
        <v>18</v>
      </c>
      <c r="I108" s="38" t="s">
        <v>12</v>
      </c>
    </row>
    <row r="109" spans="1:9" ht="15" thickBot="1">
      <c r="A109" s="32" t="s">
        <v>216</v>
      </c>
      <c r="B109" s="33" t="s">
        <v>15</v>
      </c>
      <c r="C109" s="33" t="s">
        <v>33</v>
      </c>
      <c r="D109" s="33" t="s">
        <v>12</v>
      </c>
      <c r="E109" s="34">
        <v>48325</v>
      </c>
      <c r="F109" s="35">
        <v>42750</v>
      </c>
      <c r="G109" s="36">
        <v>2.8947368421052633</v>
      </c>
      <c r="H109" s="37" t="s">
        <v>27</v>
      </c>
      <c r="I109" s="38" t="s">
        <v>217</v>
      </c>
    </row>
    <row r="110" spans="1:9" ht="15" thickBot="1">
      <c r="A110" s="32" t="s">
        <v>218</v>
      </c>
      <c r="B110" s="33" t="s">
        <v>38</v>
      </c>
      <c r="C110" s="33" t="s">
        <v>41</v>
      </c>
      <c r="D110" s="33" t="s">
        <v>63</v>
      </c>
      <c r="E110" s="34">
        <v>86412</v>
      </c>
      <c r="F110" s="35">
        <v>42757</v>
      </c>
      <c r="G110" s="36">
        <v>2</v>
      </c>
      <c r="H110" s="37" t="s">
        <v>35</v>
      </c>
      <c r="I110" s="38" t="s">
        <v>74</v>
      </c>
    </row>
    <row r="111" spans="1:9" ht="15" thickBot="1">
      <c r="A111" s="32" t="s">
        <v>219</v>
      </c>
      <c r="B111" s="33" t="s">
        <v>38</v>
      </c>
      <c r="C111" s="33" t="s">
        <v>16</v>
      </c>
      <c r="D111" s="33" t="s">
        <v>12</v>
      </c>
      <c r="E111" s="34">
        <v>66761</v>
      </c>
      <c r="F111" s="35">
        <v>42764</v>
      </c>
      <c r="G111" s="36">
        <v>1</v>
      </c>
      <c r="H111" s="37" t="s">
        <v>12</v>
      </c>
      <c r="I111" s="38" t="s">
        <v>220</v>
      </c>
    </row>
    <row r="112" spans="1:9" ht="15" thickBot="1">
      <c r="A112" s="32" t="s">
        <v>221</v>
      </c>
      <c r="B112" s="39" t="s">
        <v>30</v>
      </c>
      <c r="C112" s="33" t="s">
        <v>12</v>
      </c>
      <c r="D112" s="33" t="s">
        <v>34</v>
      </c>
      <c r="E112" s="34">
        <v>88850</v>
      </c>
      <c r="F112" s="35">
        <v>42771</v>
      </c>
      <c r="G112" s="36">
        <v>1</v>
      </c>
      <c r="H112" s="37" t="s">
        <v>35</v>
      </c>
      <c r="I112" s="38" t="s">
        <v>222</v>
      </c>
    </row>
    <row r="113" spans="1:9" ht="15" thickBot="1">
      <c r="A113" s="32" t="s">
        <v>223</v>
      </c>
      <c r="B113" s="33" t="s">
        <v>40</v>
      </c>
      <c r="C113" s="33" t="s">
        <v>25</v>
      </c>
      <c r="D113" s="33" t="s">
        <v>34</v>
      </c>
      <c r="E113" s="34">
        <v>31293</v>
      </c>
      <c r="F113" s="35" t="s">
        <v>12</v>
      </c>
      <c r="G113" s="36">
        <v>2</v>
      </c>
      <c r="H113" s="37" t="s">
        <v>35</v>
      </c>
      <c r="I113" s="38" t="s">
        <v>224</v>
      </c>
    </row>
    <row r="114" spans="1:9" ht="15" thickBot="1">
      <c r="A114" s="32" t="s">
        <v>225</v>
      </c>
      <c r="B114" s="33" t="s">
        <v>40</v>
      </c>
      <c r="C114" s="33" t="s">
        <v>33</v>
      </c>
      <c r="D114" s="33" t="s">
        <v>26</v>
      </c>
      <c r="E114" s="34">
        <v>34306</v>
      </c>
      <c r="F114" s="35">
        <v>42785</v>
      </c>
      <c r="G114" s="36">
        <v>5</v>
      </c>
      <c r="H114" s="37" t="s">
        <v>35</v>
      </c>
      <c r="I114" s="38" t="s">
        <v>156</v>
      </c>
    </row>
    <row r="115" spans="1:9" ht="15" thickBot="1">
      <c r="A115" s="32" t="s">
        <v>226</v>
      </c>
      <c r="B115" s="33" t="s">
        <v>15</v>
      </c>
      <c r="C115" s="33" t="s">
        <v>10</v>
      </c>
      <c r="D115" s="33" t="s">
        <v>34</v>
      </c>
      <c r="E115" s="34">
        <v>78330</v>
      </c>
      <c r="F115" s="35">
        <v>42792</v>
      </c>
      <c r="G115" s="36">
        <v>3</v>
      </c>
      <c r="H115" s="37" t="s">
        <v>18</v>
      </c>
      <c r="I115" s="38" t="s">
        <v>207</v>
      </c>
    </row>
    <row r="116" spans="1:9" ht="15" thickBot="1">
      <c r="A116" s="32" t="s">
        <v>227</v>
      </c>
      <c r="B116" s="33" t="s">
        <v>21</v>
      </c>
      <c r="C116" s="33" t="s">
        <v>33</v>
      </c>
      <c r="D116" s="33" t="s">
        <v>26</v>
      </c>
      <c r="E116" s="34">
        <v>47653</v>
      </c>
      <c r="F116" s="35">
        <v>42799</v>
      </c>
      <c r="G116" s="36">
        <v>1</v>
      </c>
      <c r="H116" s="37" t="s">
        <v>27</v>
      </c>
      <c r="I116" s="38" t="s">
        <v>228</v>
      </c>
    </row>
    <row r="117" spans="1:9" ht="15" thickBot="1">
      <c r="A117" s="32" t="s">
        <v>229</v>
      </c>
      <c r="B117" s="33" t="s">
        <v>15</v>
      </c>
      <c r="C117" s="33" t="s">
        <v>41</v>
      </c>
      <c r="D117" s="33" t="s">
        <v>46</v>
      </c>
      <c r="E117" s="34">
        <v>44627</v>
      </c>
      <c r="F117" s="35">
        <v>42806</v>
      </c>
      <c r="G117" s="36">
        <v>4</v>
      </c>
      <c r="H117" s="37" t="s">
        <v>12</v>
      </c>
      <c r="I117" s="38" t="s">
        <v>148</v>
      </c>
    </row>
    <row r="118" spans="1:9" ht="15" thickBot="1">
      <c r="A118" s="32" t="s">
        <v>230</v>
      </c>
      <c r="B118" s="33" t="s">
        <v>53</v>
      </c>
      <c r="C118" s="33" t="s">
        <v>16</v>
      </c>
      <c r="D118" s="33" t="s">
        <v>17</v>
      </c>
      <c r="E118" s="34">
        <v>92343</v>
      </c>
      <c r="F118" s="35">
        <v>42813</v>
      </c>
      <c r="G118" s="36">
        <v>4</v>
      </c>
      <c r="H118" s="37" t="s">
        <v>35</v>
      </c>
      <c r="I118" s="38" t="s">
        <v>76</v>
      </c>
    </row>
    <row r="119" spans="1:9" ht="15" thickBot="1">
      <c r="A119" s="32" t="s">
        <v>231</v>
      </c>
      <c r="B119" s="33" t="s">
        <v>53</v>
      </c>
      <c r="C119" s="33" t="s">
        <v>41</v>
      </c>
      <c r="D119" s="33" t="s">
        <v>63</v>
      </c>
      <c r="E119" s="34">
        <v>38837</v>
      </c>
      <c r="F119" s="35">
        <v>42820</v>
      </c>
      <c r="G119" s="36">
        <v>5</v>
      </c>
      <c r="H119" s="37" t="s">
        <v>35</v>
      </c>
      <c r="I119" s="38" t="s">
        <v>156</v>
      </c>
    </row>
    <row r="120" spans="1:9" ht="15" thickBot="1">
      <c r="A120" s="32" t="s">
        <v>232</v>
      </c>
      <c r="B120" s="33" t="s">
        <v>53</v>
      </c>
      <c r="C120" s="39" t="s">
        <v>41</v>
      </c>
      <c r="D120" s="33" t="s">
        <v>12</v>
      </c>
      <c r="E120" s="34">
        <v>73483</v>
      </c>
      <c r="F120" s="35">
        <v>42827</v>
      </c>
      <c r="G120" s="36">
        <v>1</v>
      </c>
      <c r="H120" s="37" t="s">
        <v>12</v>
      </c>
      <c r="I120" s="38" t="s">
        <v>233</v>
      </c>
    </row>
    <row r="121" spans="1:9" ht="15" thickBot="1">
      <c r="A121" s="32" t="s">
        <v>234</v>
      </c>
      <c r="B121" s="33" t="s">
        <v>40</v>
      </c>
      <c r="C121" s="33" t="s">
        <v>25</v>
      </c>
      <c r="D121" s="33" t="s">
        <v>34</v>
      </c>
      <c r="E121" s="34">
        <v>95032</v>
      </c>
      <c r="F121" s="35">
        <v>42834</v>
      </c>
      <c r="G121" s="36">
        <v>3</v>
      </c>
      <c r="H121" s="37" t="s">
        <v>12</v>
      </c>
      <c r="I121" s="38" t="s">
        <v>235</v>
      </c>
    </row>
    <row r="122" spans="1:9" ht="15" thickBot="1">
      <c r="A122" s="32" t="s">
        <v>236</v>
      </c>
      <c r="B122" s="33" t="s">
        <v>15</v>
      </c>
      <c r="C122" s="33" t="s">
        <v>25</v>
      </c>
      <c r="D122" s="33" t="s">
        <v>63</v>
      </c>
      <c r="E122" s="34">
        <v>44358</v>
      </c>
      <c r="F122" s="35">
        <v>42841</v>
      </c>
      <c r="G122" s="36">
        <v>3</v>
      </c>
      <c r="H122" s="37" t="s">
        <v>35</v>
      </c>
      <c r="I122" s="38" t="s">
        <v>70</v>
      </c>
    </row>
    <row r="123" spans="1:9" ht="15" thickBot="1">
      <c r="A123" s="32" t="s">
        <v>237</v>
      </c>
      <c r="B123" s="33" t="s">
        <v>12</v>
      </c>
      <c r="C123" s="33" t="s">
        <v>33</v>
      </c>
      <c r="D123" s="33" t="s">
        <v>26</v>
      </c>
      <c r="E123" s="34">
        <v>63232.928571428572</v>
      </c>
      <c r="F123" s="35" t="s">
        <v>12</v>
      </c>
      <c r="G123" s="36">
        <v>5</v>
      </c>
      <c r="H123" s="37" t="s">
        <v>12</v>
      </c>
      <c r="I123" s="38" t="s">
        <v>238</v>
      </c>
    </row>
    <row r="124" spans="1:9" ht="15" thickBot="1">
      <c r="A124" s="32" t="s">
        <v>239</v>
      </c>
      <c r="B124" s="33" t="s">
        <v>40</v>
      </c>
      <c r="C124" s="33" t="s">
        <v>25</v>
      </c>
      <c r="D124" s="33" t="s">
        <v>26</v>
      </c>
      <c r="E124" s="34">
        <v>45676</v>
      </c>
      <c r="F124" s="35">
        <v>42855</v>
      </c>
      <c r="G124" s="36">
        <v>2</v>
      </c>
      <c r="H124" s="37" t="s">
        <v>12</v>
      </c>
      <c r="I124" s="38" t="s">
        <v>240</v>
      </c>
    </row>
    <row r="125" spans="1:9" ht="15" thickBot="1">
      <c r="A125" s="32" t="s">
        <v>241</v>
      </c>
      <c r="B125" s="33" t="s">
        <v>53</v>
      </c>
      <c r="C125" s="33" t="s">
        <v>25</v>
      </c>
      <c r="D125" s="33" t="s">
        <v>17</v>
      </c>
      <c r="E125" s="34">
        <v>52036</v>
      </c>
      <c r="F125" s="35">
        <v>42862</v>
      </c>
      <c r="G125" s="36">
        <v>3</v>
      </c>
      <c r="H125" s="37" t="s">
        <v>27</v>
      </c>
      <c r="I125" s="38" t="s">
        <v>242</v>
      </c>
    </row>
    <row r="126" spans="1:9" ht="15" thickBot="1">
      <c r="A126" s="32" t="s">
        <v>243</v>
      </c>
      <c r="B126" s="39" t="s">
        <v>30</v>
      </c>
      <c r="C126" s="33" t="s">
        <v>12</v>
      </c>
      <c r="D126" s="33" t="s">
        <v>17</v>
      </c>
      <c r="E126" s="34">
        <v>30357</v>
      </c>
      <c r="F126" s="35">
        <v>42869</v>
      </c>
      <c r="G126" s="36">
        <v>5</v>
      </c>
      <c r="H126" s="37" t="s">
        <v>27</v>
      </c>
      <c r="I126" s="38" t="s">
        <v>181</v>
      </c>
    </row>
    <row r="127" spans="1:9" ht="15" thickBot="1">
      <c r="A127" s="32" t="s">
        <v>244</v>
      </c>
      <c r="B127" s="33" t="s">
        <v>24</v>
      </c>
      <c r="C127" s="33" t="s">
        <v>33</v>
      </c>
      <c r="D127" s="33" t="s">
        <v>12</v>
      </c>
      <c r="E127" s="34">
        <v>60034</v>
      </c>
      <c r="F127" s="35">
        <v>42876</v>
      </c>
      <c r="G127" s="36">
        <v>1</v>
      </c>
      <c r="H127" s="37" t="s">
        <v>35</v>
      </c>
      <c r="I127" s="38" t="s">
        <v>245</v>
      </c>
    </row>
    <row r="128" spans="1:9" ht="15" thickBot="1">
      <c r="A128" s="32" t="s">
        <v>246</v>
      </c>
      <c r="B128" s="33" t="s">
        <v>24</v>
      </c>
      <c r="C128" s="33" t="s">
        <v>10</v>
      </c>
      <c r="D128" s="33" t="s">
        <v>12</v>
      </c>
      <c r="E128" s="34">
        <v>90019</v>
      </c>
      <c r="F128" s="35">
        <v>42883</v>
      </c>
      <c r="G128" s="36">
        <v>5</v>
      </c>
      <c r="H128" s="37" t="s">
        <v>12</v>
      </c>
      <c r="I128" s="38" t="s">
        <v>247</v>
      </c>
    </row>
    <row r="129" spans="1:9" ht="15" thickBot="1">
      <c r="A129" s="32" t="s">
        <v>248</v>
      </c>
      <c r="B129" s="39" t="s">
        <v>53</v>
      </c>
      <c r="C129" s="33" t="s">
        <v>12</v>
      </c>
      <c r="D129" s="33" t="s">
        <v>17</v>
      </c>
      <c r="E129" s="34">
        <v>71494</v>
      </c>
      <c r="F129" s="35">
        <v>42890</v>
      </c>
      <c r="G129" s="36">
        <v>3</v>
      </c>
      <c r="H129" s="37" t="s">
        <v>27</v>
      </c>
      <c r="I129" s="38" t="s">
        <v>249</v>
      </c>
    </row>
    <row r="130" spans="1:9" ht="15" thickBot="1">
      <c r="A130" s="32" t="s">
        <v>250</v>
      </c>
      <c r="B130" s="33" t="s">
        <v>24</v>
      </c>
      <c r="C130" s="33" t="s">
        <v>10</v>
      </c>
      <c r="D130" s="33" t="s">
        <v>26</v>
      </c>
      <c r="E130" s="34">
        <v>91953</v>
      </c>
      <c r="F130" s="35">
        <v>42897</v>
      </c>
      <c r="G130" s="36">
        <v>2</v>
      </c>
      <c r="H130" s="37" t="s">
        <v>27</v>
      </c>
      <c r="I130" s="38" t="s">
        <v>88</v>
      </c>
    </row>
    <row r="131" spans="1:9" ht="15" thickBot="1">
      <c r="A131" s="32" t="s">
        <v>251</v>
      </c>
      <c r="B131" s="33" t="s">
        <v>40</v>
      </c>
      <c r="C131" s="33" t="s">
        <v>25</v>
      </c>
      <c r="D131" s="33" t="s">
        <v>26</v>
      </c>
      <c r="E131" s="34">
        <v>30402</v>
      </c>
      <c r="F131" s="35">
        <v>42904</v>
      </c>
      <c r="G131" s="36">
        <v>1</v>
      </c>
      <c r="H131" s="37" t="s">
        <v>12</v>
      </c>
      <c r="I131" s="38" t="s">
        <v>252</v>
      </c>
    </row>
    <row r="132" spans="1:9" ht="15" thickBot="1">
      <c r="A132" s="32" t="s">
        <v>253</v>
      </c>
      <c r="B132" s="39" t="s">
        <v>53</v>
      </c>
      <c r="C132" s="33" t="s">
        <v>12</v>
      </c>
      <c r="D132" s="33" t="s">
        <v>46</v>
      </c>
      <c r="E132" s="34">
        <v>62994</v>
      </c>
      <c r="F132" s="35">
        <v>42911</v>
      </c>
      <c r="G132" s="36">
        <v>3</v>
      </c>
      <c r="H132" s="37" t="s">
        <v>12</v>
      </c>
      <c r="I132" s="38" t="s">
        <v>113</v>
      </c>
    </row>
    <row r="133" spans="1:9" ht="15" thickBot="1">
      <c r="A133" s="32" t="s">
        <v>254</v>
      </c>
      <c r="B133" s="33" t="s">
        <v>21</v>
      </c>
      <c r="C133" s="33" t="s">
        <v>25</v>
      </c>
      <c r="D133" s="33" t="s">
        <v>34</v>
      </c>
      <c r="E133" s="34">
        <v>48289</v>
      </c>
      <c r="F133" s="35" t="s">
        <v>12</v>
      </c>
      <c r="G133" s="36">
        <v>3</v>
      </c>
      <c r="H133" s="37" t="s">
        <v>27</v>
      </c>
      <c r="I133" s="38" t="s">
        <v>44</v>
      </c>
    </row>
    <row r="134" spans="1:9" ht="15" thickBot="1">
      <c r="A134" s="32" t="s">
        <v>255</v>
      </c>
      <c r="B134" s="33" t="s">
        <v>38</v>
      </c>
      <c r="C134" s="33" t="s">
        <v>41</v>
      </c>
      <c r="D134" s="33" t="s">
        <v>17</v>
      </c>
      <c r="E134" s="34">
        <v>34402</v>
      </c>
      <c r="F134" s="35">
        <v>42925</v>
      </c>
      <c r="G134" s="36">
        <v>3</v>
      </c>
      <c r="H134" s="37" t="s">
        <v>18</v>
      </c>
      <c r="I134" s="38" t="s">
        <v>107</v>
      </c>
    </row>
    <row r="135" spans="1:9" ht="15" thickBot="1">
      <c r="A135" s="32" t="s">
        <v>256</v>
      </c>
      <c r="B135" s="33" t="s">
        <v>15</v>
      </c>
      <c r="C135" s="33" t="s">
        <v>16</v>
      </c>
      <c r="D135" s="33" t="s">
        <v>26</v>
      </c>
      <c r="E135" s="34">
        <v>38678</v>
      </c>
      <c r="F135" s="35">
        <v>42932</v>
      </c>
      <c r="G135" s="36">
        <v>3</v>
      </c>
      <c r="H135" s="37" t="s">
        <v>18</v>
      </c>
      <c r="I135" s="38" t="s">
        <v>257</v>
      </c>
    </row>
    <row r="136" spans="1:9" ht="15" thickBot="1">
      <c r="A136" s="32" t="s">
        <v>258</v>
      </c>
      <c r="B136" s="33" t="s">
        <v>40</v>
      </c>
      <c r="C136" s="33" t="s">
        <v>16</v>
      </c>
      <c r="D136" s="33" t="s">
        <v>17</v>
      </c>
      <c r="E136" s="34">
        <v>45758</v>
      </c>
      <c r="F136" s="35">
        <v>42939</v>
      </c>
      <c r="G136" s="36">
        <v>3</v>
      </c>
      <c r="H136" s="37" t="s">
        <v>12</v>
      </c>
      <c r="I136" s="38" t="s">
        <v>224</v>
      </c>
    </row>
    <row r="137" spans="1:9" ht="15" thickBot="1">
      <c r="A137" s="32" t="s">
        <v>259</v>
      </c>
      <c r="B137" s="33" t="s">
        <v>15</v>
      </c>
      <c r="C137" s="33" t="s">
        <v>41</v>
      </c>
      <c r="D137" s="33" t="s">
        <v>34</v>
      </c>
      <c r="E137" s="34">
        <v>62476</v>
      </c>
      <c r="F137" s="35">
        <v>42946</v>
      </c>
      <c r="G137" s="36">
        <v>1</v>
      </c>
      <c r="H137" s="37" t="s">
        <v>18</v>
      </c>
      <c r="I137" s="38" t="s">
        <v>137</v>
      </c>
    </row>
    <row r="138" spans="1:9" ht="15" thickBot="1">
      <c r="A138" s="32" t="s">
        <v>260</v>
      </c>
      <c r="B138" s="33" t="s">
        <v>12</v>
      </c>
      <c r="C138" s="33" t="s">
        <v>33</v>
      </c>
      <c r="D138" s="33" t="s">
        <v>46</v>
      </c>
      <c r="E138" s="34">
        <v>39280</v>
      </c>
      <c r="F138" s="35">
        <v>42953</v>
      </c>
      <c r="G138" s="36">
        <v>3</v>
      </c>
      <c r="H138" s="37" t="s">
        <v>35</v>
      </c>
      <c r="I138" s="38" t="s">
        <v>98</v>
      </c>
    </row>
    <row r="139" spans="1:9" ht="15" thickBot="1">
      <c r="A139" s="32" t="s">
        <v>261</v>
      </c>
      <c r="B139" s="33" t="s">
        <v>30</v>
      </c>
      <c r="C139" s="33" t="s">
        <v>10</v>
      </c>
      <c r="D139" s="33" t="s">
        <v>34</v>
      </c>
      <c r="E139" s="34">
        <v>60335</v>
      </c>
      <c r="F139" s="35">
        <v>42960</v>
      </c>
      <c r="G139" s="36">
        <v>4</v>
      </c>
      <c r="H139" s="37" t="s">
        <v>18</v>
      </c>
      <c r="I139" s="38" t="s">
        <v>128</v>
      </c>
    </row>
    <row r="140" spans="1:9" ht="15" thickBot="1">
      <c r="A140" s="32" t="s">
        <v>262</v>
      </c>
      <c r="B140" s="33" t="s">
        <v>40</v>
      </c>
      <c r="C140" s="33" t="s">
        <v>16</v>
      </c>
      <c r="D140" s="33" t="s">
        <v>17</v>
      </c>
      <c r="E140" s="34">
        <v>84968</v>
      </c>
      <c r="F140" s="35">
        <v>42967</v>
      </c>
      <c r="G140" s="36">
        <v>3.0909090909090908</v>
      </c>
      <c r="H140" s="37" t="s">
        <v>12</v>
      </c>
      <c r="I140" s="38" t="s">
        <v>263</v>
      </c>
    </row>
    <row r="141" spans="1:9" ht="15" thickBot="1">
      <c r="A141" s="32" t="s">
        <v>264</v>
      </c>
      <c r="B141" s="33" t="s">
        <v>40</v>
      </c>
      <c r="C141" s="33" t="s">
        <v>41</v>
      </c>
      <c r="D141" s="33" t="s">
        <v>63</v>
      </c>
      <c r="E141" s="34">
        <v>84750</v>
      </c>
      <c r="F141" s="35">
        <v>42974</v>
      </c>
      <c r="G141" s="36">
        <v>4</v>
      </c>
      <c r="H141" s="37" t="s">
        <v>35</v>
      </c>
      <c r="I141" s="38" t="s">
        <v>59</v>
      </c>
    </row>
    <row r="142" spans="1:9" ht="15" thickBot="1">
      <c r="A142" s="32" t="s">
        <v>265</v>
      </c>
      <c r="B142" s="33" t="s">
        <v>53</v>
      </c>
      <c r="C142" s="33" t="s">
        <v>33</v>
      </c>
      <c r="D142" s="33" t="s">
        <v>12</v>
      </c>
      <c r="E142" s="34">
        <v>73348</v>
      </c>
      <c r="F142" s="35">
        <v>42981</v>
      </c>
      <c r="G142" s="36">
        <v>2</v>
      </c>
      <c r="H142" s="37" t="s">
        <v>12</v>
      </c>
      <c r="I142" s="38" t="s">
        <v>170</v>
      </c>
    </row>
    <row r="143" spans="1:9" ht="15" thickBot="1">
      <c r="A143" s="32" t="s">
        <v>266</v>
      </c>
      <c r="B143" s="33" t="s">
        <v>40</v>
      </c>
      <c r="C143" s="33" t="s">
        <v>25</v>
      </c>
      <c r="D143" s="33" t="s">
        <v>26</v>
      </c>
      <c r="E143" s="34">
        <v>73697</v>
      </c>
      <c r="F143" s="35">
        <v>42988</v>
      </c>
      <c r="G143" s="36">
        <v>4</v>
      </c>
      <c r="H143" s="37" t="s">
        <v>18</v>
      </c>
      <c r="I143" s="38" t="s">
        <v>12</v>
      </c>
    </row>
    <row r="144" spans="1:9" ht="15" thickBot="1">
      <c r="A144" s="32" t="s">
        <v>267</v>
      </c>
      <c r="B144" s="33" t="s">
        <v>30</v>
      </c>
      <c r="C144" s="33" t="s">
        <v>41</v>
      </c>
      <c r="D144" s="33" t="s">
        <v>26</v>
      </c>
      <c r="E144" s="34">
        <v>66882</v>
      </c>
      <c r="F144" s="35">
        <v>42995</v>
      </c>
      <c r="G144" s="36">
        <v>5</v>
      </c>
      <c r="H144" s="37" t="s">
        <v>18</v>
      </c>
      <c r="I144" s="38" t="s">
        <v>84</v>
      </c>
    </row>
    <row r="145" spans="1:9" ht="15" thickBot="1">
      <c r="A145" s="32" t="s">
        <v>268</v>
      </c>
      <c r="B145" s="33" t="s">
        <v>21</v>
      </c>
      <c r="C145" s="39" t="s">
        <v>41</v>
      </c>
      <c r="D145" s="33" t="s">
        <v>12</v>
      </c>
      <c r="E145" s="34">
        <v>86775</v>
      </c>
      <c r="F145" s="35">
        <v>43002</v>
      </c>
      <c r="G145" s="36">
        <v>3</v>
      </c>
      <c r="H145" s="37" t="s">
        <v>18</v>
      </c>
      <c r="I145" s="38" t="s">
        <v>94</v>
      </c>
    </row>
    <row r="146" spans="1:9" ht="15" thickBot="1">
      <c r="A146" s="32" t="s">
        <v>269</v>
      </c>
      <c r="B146" s="33" t="s">
        <v>40</v>
      </c>
      <c r="C146" s="33" t="s">
        <v>25</v>
      </c>
      <c r="D146" s="33" t="s">
        <v>46</v>
      </c>
      <c r="E146" s="34">
        <v>91620</v>
      </c>
      <c r="F146" s="35">
        <v>43009</v>
      </c>
      <c r="G146" s="36">
        <v>2.6666666666666665</v>
      </c>
      <c r="H146" s="37" t="s">
        <v>12</v>
      </c>
      <c r="I146" s="38" t="s">
        <v>270</v>
      </c>
    </row>
    <row r="147" spans="1:9" ht="15" thickBot="1">
      <c r="A147" s="32" t="s">
        <v>271</v>
      </c>
      <c r="B147" s="39" t="s">
        <v>15</v>
      </c>
      <c r="C147" s="33" t="s">
        <v>12</v>
      </c>
      <c r="D147" s="33" t="s">
        <v>12</v>
      </c>
      <c r="E147" s="34">
        <v>94148</v>
      </c>
      <c r="F147" s="35">
        <v>43016</v>
      </c>
      <c r="G147" s="36">
        <v>2</v>
      </c>
      <c r="H147" s="37" t="s">
        <v>12</v>
      </c>
      <c r="I147" s="38" t="s">
        <v>272</v>
      </c>
    </row>
    <row r="148" spans="1:9" ht="15" thickBot="1">
      <c r="A148" s="32" t="s">
        <v>273</v>
      </c>
      <c r="B148" s="33" t="s">
        <v>38</v>
      </c>
      <c r="C148" s="33" t="s">
        <v>25</v>
      </c>
      <c r="D148" s="33" t="s">
        <v>63</v>
      </c>
      <c r="E148" s="34">
        <v>35627</v>
      </c>
      <c r="F148" s="35">
        <v>43023</v>
      </c>
      <c r="G148" s="36">
        <v>5</v>
      </c>
      <c r="H148" s="37" t="s">
        <v>35</v>
      </c>
      <c r="I148" s="38" t="s">
        <v>257</v>
      </c>
    </row>
    <row r="149" spans="1:9" ht="15" thickBot="1">
      <c r="A149" s="32" t="s">
        <v>274</v>
      </c>
      <c r="B149" s="33" t="s">
        <v>24</v>
      </c>
      <c r="C149" s="33" t="s">
        <v>41</v>
      </c>
      <c r="D149" s="33" t="s">
        <v>26</v>
      </c>
      <c r="E149" s="34">
        <v>57141</v>
      </c>
      <c r="F149" s="35">
        <v>43030</v>
      </c>
      <c r="G149" s="36">
        <v>2</v>
      </c>
      <c r="H149" s="37" t="s">
        <v>12</v>
      </c>
      <c r="I149" s="38" t="s">
        <v>263</v>
      </c>
    </row>
    <row r="150" spans="1:9" ht="15" thickBot="1">
      <c r="A150" s="32" t="s">
        <v>275</v>
      </c>
      <c r="B150" s="33" t="s">
        <v>53</v>
      </c>
      <c r="C150" s="33" t="s">
        <v>25</v>
      </c>
      <c r="D150" s="33" t="s">
        <v>63</v>
      </c>
      <c r="E150" s="34">
        <v>65270</v>
      </c>
      <c r="F150" s="35">
        <v>43037</v>
      </c>
      <c r="G150" s="36">
        <v>1</v>
      </c>
      <c r="H150" s="37" t="s">
        <v>12</v>
      </c>
      <c r="I150" s="38" t="s">
        <v>276</v>
      </c>
    </row>
    <row r="151" spans="1:9" ht="15" thickBot="1">
      <c r="A151" s="32" t="s">
        <v>277</v>
      </c>
      <c r="B151" s="39" t="s">
        <v>53</v>
      </c>
      <c r="C151" s="33" t="s">
        <v>12</v>
      </c>
      <c r="D151" s="33" t="s">
        <v>46</v>
      </c>
      <c r="E151" s="34">
        <v>67335</v>
      </c>
      <c r="F151" s="35">
        <v>43044</v>
      </c>
      <c r="G151" s="36">
        <v>1</v>
      </c>
      <c r="H151" s="37" t="s">
        <v>18</v>
      </c>
      <c r="I151" s="38" t="s">
        <v>143</v>
      </c>
    </row>
    <row r="152" spans="1:9">
      <c r="A152" s="40" t="s">
        <v>278</v>
      </c>
      <c r="B152" s="41" t="s">
        <v>38</v>
      </c>
      <c r="C152" s="41" t="s">
        <v>41</v>
      </c>
      <c r="D152" s="41" t="s">
        <v>34</v>
      </c>
      <c r="E152" s="34">
        <v>98475</v>
      </c>
      <c r="F152" s="42">
        <v>43051</v>
      </c>
      <c r="G152" s="36">
        <v>5</v>
      </c>
      <c r="H152" s="43" t="s">
        <v>18</v>
      </c>
      <c r="I152" s="44" t="s">
        <v>279</v>
      </c>
    </row>
  </sheetData>
  <mergeCells count="1">
    <mergeCell ref="A1:O1"/>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7C656A-F38A-4567-B089-8BD25573A157}">
  <dimension ref="A1:P153"/>
  <sheetViews>
    <sheetView topLeftCell="A134" workbookViewId="0">
      <selection activeCell="A2" sqref="A2:H152"/>
    </sheetView>
  </sheetViews>
  <sheetFormatPr defaultRowHeight="14.4"/>
  <cols>
    <col min="1" max="1" width="12.44140625" customWidth="1"/>
    <col min="2" max="2" width="14.21875" customWidth="1"/>
    <col min="3" max="3" width="11.21875" customWidth="1"/>
    <col min="4" max="4" width="12.33203125" customWidth="1"/>
    <col min="5" max="5" width="12.109375" customWidth="1"/>
    <col min="6" max="6" width="15" customWidth="1"/>
    <col min="7" max="7" width="11.77734375" customWidth="1"/>
    <col min="8" max="8" width="12.44140625" customWidth="1"/>
    <col min="9" max="9" width="25.21875" customWidth="1"/>
    <col min="11" max="11" width="13" customWidth="1"/>
    <col min="12" max="12" width="15.44140625" customWidth="1"/>
    <col min="13" max="13" width="22.21875" customWidth="1"/>
  </cols>
  <sheetData>
    <row r="1" spans="1:16" ht="21">
      <c r="A1" s="176" t="s">
        <v>331</v>
      </c>
      <c r="B1" s="176"/>
      <c r="C1" s="176"/>
      <c r="D1" s="176"/>
      <c r="E1" s="176"/>
      <c r="F1" s="176"/>
      <c r="G1" s="176"/>
      <c r="H1" s="176"/>
      <c r="I1" s="176"/>
      <c r="J1" s="176"/>
      <c r="K1" s="176"/>
      <c r="L1" s="176"/>
      <c r="M1" s="176"/>
      <c r="N1" s="176"/>
    </row>
    <row r="2" spans="1:16">
      <c r="A2" s="45" t="s">
        <v>0</v>
      </c>
      <c r="B2" s="46" t="s">
        <v>1</v>
      </c>
      <c r="C2" s="46" t="s">
        <v>2</v>
      </c>
      <c r="D2" s="46" t="s">
        <v>3</v>
      </c>
      <c r="E2" s="47" t="s">
        <v>4</v>
      </c>
      <c r="F2" s="48" t="s">
        <v>5</v>
      </c>
      <c r="G2" s="49" t="s">
        <v>6</v>
      </c>
      <c r="H2" s="46" t="s">
        <v>7</v>
      </c>
      <c r="I2" s="50" t="s">
        <v>8</v>
      </c>
      <c r="K2" s="51"/>
      <c r="L2" s="51"/>
      <c r="M2" s="51"/>
      <c r="N2" s="51"/>
      <c r="O2" s="51"/>
      <c r="P2" s="51"/>
    </row>
    <row r="3" spans="1:16" ht="15.6">
      <c r="A3" s="52" t="s">
        <v>9</v>
      </c>
      <c r="B3" s="53" t="s">
        <v>12</v>
      </c>
      <c r="C3" s="53" t="s">
        <v>10</v>
      </c>
      <c r="D3" s="53" t="s">
        <v>12</v>
      </c>
      <c r="E3" s="54">
        <v>66280.929577464791</v>
      </c>
      <c r="F3" s="55" t="s">
        <v>12</v>
      </c>
      <c r="G3" s="56">
        <v>2</v>
      </c>
      <c r="H3" s="57" t="s">
        <v>12</v>
      </c>
      <c r="I3" s="58" t="s">
        <v>12</v>
      </c>
      <c r="K3" s="59" t="s">
        <v>280</v>
      </c>
      <c r="L3" s="60" t="s">
        <v>4</v>
      </c>
      <c r="M3" s="61" t="s">
        <v>281</v>
      </c>
      <c r="N3" s="51"/>
      <c r="O3" s="51"/>
      <c r="P3" s="51"/>
    </row>
    <row r="4" spans="1:16">
      <c r="A4" s="52" t="s">
        <v>14</v>
      </c>
      <c r="B4" s="53" t="s">
        <v>15</v>
      </c>
      <c r="C4" s="53" t="s">
        <v>16</v>
      </c>
      <c r="D4" s="53" t="s">
        <v>17</v>
      </c>
      <c r="E4" s="54">
        <v>54255</v>
      </c>
      <c r="F4" s="55">
        <v>42015</v>
      </c>
      <c r="G4" s="56">
        <v>1</v>
      </c>
      <c r="H4" s="57" t="s">
        <v>18</v>
      </c>
      <c r="I4" s="58" t="s">
        <v>19</v>
      </c>
      <c r="K4" s="62"/>
      <c r="L4" s="63"/>
      <c r="M4" s="64"/>
      <c r="N4" s="51"/>
      <c r="O4" s="51"/>
      <c r="P4" s="51"/>
    </row>
    <row r="5" spans="1:16">
      <c r="A5" s="52" t="s">
        <v>20</v>
      </c>
      <c r="B5" s="53" t="s">
        <v>21</v>
      </c>
      <c r="C5" s="53" t="s">
        <v>10</v>
      </c>
      <c r="D5" s="53" t="s">
        <v>17</v>
      </c>
      <c r="E5" s="54">
        <v>63184</v>
      </c>
      <c r="F5" s="55">
        <v>42022</v>
      </c>
      <c r="G5" s="56">
        <v>2</v>
      </c>
      <c r="H5" s="57" t="s">
        <v>12</v>
      </c>
      <c r="I5" s="58" t="s">
        <v>22</v>
      </c>
      <c r="K5" s="62" t="s">
        <v>282</v>
      </c>
      <c r="L5" s="65">
        <f>SUM(Table14[Salary])</f>
        <v>9936329.3326631915</v>
      </c>
      <c r="M5" s="66">
        <f>SUM(G3:G152)</f>
        <v>432.06643263985455</v>
      </c>
      <c r="N5" s="51"/>
      <c r="O5" s="51"/>
      <c r="P5" s="51"/>
    </row>
    <row r="6" spans="1:16">
      <c r="A6" s="52" t="s">
        <v>23</v>
      </c>
      <c r="B6" s="53" t="s">
        <v>24</v>
      </c>
      <c r="C6" s="53" t="s">
        <v>25</v>
      </c>
      <c r="D6" s="53" t="s">
        <v>26</v>
      </c>
      <c r="E6" s="54">
        <v>94406</v>
      </c>
      <c r="F6" s="55">
        <v>42029</v>
      </c>
      <c r="G6" s="56">
        <v>1</v>
      </c>
      <c r="H6" s="57" t="s">
        <v>27</v>
      </c>
      <c r="I6" s="58" t="s">
        <v>28</v>
      </c>
      <c r="K6" s="62"/>
      <c r="L6" s="63"/>
      <c r="M6" s="64"/>
      <c r="N6" s="51"/>
      <c r="O6" s="51"/>
      <c r="P6" s="51"/>
    </row>
    <row r="7" spans="1:16">
      <c r="A7" s="52" t="s">
        <v>29</v>
      </c>
      <c r="B7" s="53" t="s">
        <v>30</v>
      </c>
      <c r="C7" s="53" t="s">
        <v>25</v>
      </c>
      <c r="D7" s="53" t="s">
        <v>17</v>
      </c>
      <c r="E7" s="54">
        <v>64120</v>
      </c>
      <c r="F7" s="55">
        <v>42036</v>
      </c>
      <c r="G7" s="56">
        <v>1</v>
      </c>
      <c r="H7" s="57" t="s">
        <v>27</v>
      </c>
      <c r="I7" s="58" t="s">
        <v>31</v>
      </c>
      <c r="K7" s="62" t="s">
        <v>283</v>
      </c>
      <c r="L7" s="65">
        <f>AVERAGE(E3:E152)</f>
        <v>66242.195551087949</v>
      </c>
      <c r="M7" s="66">
        <f>AVERAGE(G3:G152)</f>
        <v>2.8804428842656971</v>
      </c>
    </row>
    <row r="8" spans="1:16">
      <c r="A8" s="52" t="s">
        <v>32</v>
      </c>
      <c r="B8" s="53" t="s">
        <v>21</v>
      </c>
      <c r="C8" s="53" t="s">
        <v>33</v>
      </c>
      <c r="D8" s="53" t="s">
        <v>34</v>
      </c>
      <c r="E8" s="54">
        <v>78421</v>
      </c>
      <c r="F8" s="55">
        <v>42043</v>
      </c>
      <c r="G8" s="56">
        <v>2</v>
      </c>
      <c r="H8" s="57" t="s">
        <v>35</v>
      </c>
      <c r="I8" s="58" t="s">
        <v>36</v>
      </c>
      <c r="K8" s="62"/>
      <c r="L8" s="63"/>
      <c r="M8" s="64"/>
    </row>
    <row r="9" spans="1:16">
      <c r="A9" s="52" t="s">
        <v>37</v>
      </c>
      <c r="B9" s="53" t="s">
        <v>38</v>
      </c>
      <c r="C9" s="53" t="s">
        <v>25</v>
      </c>
      <c r="D9" s="53" t="s">
        <v>12</v>
      </c>
      <c r="E9" s="54">
        <v>67721</v>
      </c>
      <c r="F9" s="55">
        <v>42050</v>
      </c>
      <c r="G9" s="56">
        <v>2.9411764705882355</v>
      </c>
      <c r="H9" s="57" t="s">
        <v>27</v>
      </c>
      <c r="I9" s="58" t="s">
        <v>28</v>
      </c>
      <c r="K9" s="62" t="s">
        <v>284</v>
      </c>
      <c r="L9" s="65">
        <f>MIN(E3:E152)</f>
        <v>30280</v>
      </c>
      <c r="M9" s="66">
        <f>MIN(G3:G152)</f>
        <v>1</v>
      </c>
    </row>
    <row r="10" spans="1:16">
      <c r="A10" s="52" t="s">
        <v>39</v>
      </c>
      <c r="B10" s="53" t="s">
        <v>40</v>
      </c>
      <c r="C10" s="67" t="s">
        <v>41</v>
      </c>
      <c r="D10" s="53" t="s">
        <v>12</v>
      </c>
      <c r="E10" s="54">
        <v>35364</v>
      </c>
      <c r="F10" s="55">
        <v>42057</v>
      </c>
      <c r="G10" s="56">
        <v>2</v>
      </c>
      <c r="H10" s="57" t="s">
        <v>18</v>
      </c>
      <c r="I10" s="58" t="s">
        <v>42</v>
      </c>
      <c r="K10" s="62"/>
      <c r="L10" s="63"/>
      <c r="M10" s="64"/>
    </row>
    <row r="11" spans="1:16">
      <c r="A11" s="52" t="s">
        <v>43</v>
      </c>
      <c r="B11" s="53" t="s">
        <v>21</v>
      </c>
      <c r="C11" s="53" t="s">
        <v>33</v>
      </c>
      <c r="D11" s="53" t="s">
        <v>17</v>
      </c>
      <c r="E11" s="54">
        <v>97881</v>
      </c>
      <c r="F11" s="55">
        <v>42064</v>
      </c>
      <c r="G11" s="56">
        <v>2.9491525423728815</v>
      </c>
      <c r="H11" s="57" t="s">
        <v>35</v>
      </c>
      <c r="I11" s="58" t="s">
        <v>44</v>
      </c>
      <c r="K11" s="62" t="s">
        <v>285</v>
      </c>
      <c r="L11" s="65">
        <f>MAX(E3:E152)</f>
        <v>99621</v>
      </c>
      <c r="M11" s="66">
        <f>MAX(G3:G152)</f>
        <v>5</v>
      </c>
    </row>
    <row r="12" spans="1:16">
      <c r="A12" s="52" t="s">
        <v>45</v>
      </c>
      <c r="B12" s="53" t="s">
        <v>40</v>
      </c>
      <c r="C12" s="53" t="s">
        <v>16</v>
      </c>
      <c r="D12" s="53" t="s">
        <v>46</v>
      </c>
      <c r="E12" s="54">
        <v>91846</v>
      </c>
      <c r="F12" s="55">
        <v>42071</v>
      </c>
      <c r="G12" s="56">
        <v>2.9491525423728815</v>
      </c>
      <c r="H12" s="57" t="s">
        <v>27</v>
      </c>
      <c r="I12" s="58" t="s">
        <v>47</v>
      </c>
      <c r="K12" s="62"/>
      <c r="L12" s="63"/>
      <c r="M12" s="64"/>
    </row>
    <row r="13" spans="1:16">
      <c r="A13" s="52" t="s">
        <v>48</v>
      </c>
      <c r="B13" s="53" t="s">
        <v>38</v>
      </c>
      <c r="C13" s="53" t="s">
        <v>10</v>
      </c>
      <c r="D13" s="53" t="s">
        <v>46</v>
      </c>
      <c r="E13" s="54">
        <v>64247</v>
      </c>
      <c r="F13" s="55">
        <v>42078</v>
      </c>
      <c r="G13" s="56">
        <v>1</v>
      </c>
      <c r="H13" s="57" t="s">
        <v>35</v>
      </c>
      <c r="I13" s="58" t="s">
        <v>49</v>
      </c>
      <c r="K13" s="62" t="s">
        <v>286</v>
      </c>
      <c r="L13" s="63">
        <f>COUNT(E3:E152)</f>
        <v>150</v>
      </c>
      <c r="M13" s="64">
        <f>COUNT(G3:G152)</f>
        <v>150</v>
      </c>
    </row>
    <row r="14" spans="1:16">
      <c r="A14" s="52" t="s">
        <v>50</v>
      </c>
      <c r="B14" s="53" t="s">
        <v>38</v>
      </c>
      <c r="C14" s="53" t="s">
        <v>33</v>
      </c>
      <c r="D14" s="53" t="s">
        <v>26</v>
      </c>
      <c r="E14" s="54">
        <v>91180</v>
      </c>
      <c r="F14" s="55">
        <v>42085</v>
      </c>
      <c r="G14" s="56">
        <v>5</v>
      </c>
      <c r="H14" s="57" t="s">
        <v>27</v>
      </c>
      <c r="I14" s="58" t="s">
        <v>51</v>
      </c>
      <c r="K14" s="68"/>
      <c r="L14" s="69"/>
      <c r="M14" s="70"/>
    </row>
    <row r="15" spans="1:16">
      <c r="A15" s="52" t="s">
        <v>52</v>
      </c>
      <c r="B15" s="53" t="s">
        <v>53</v>
      </c>
      <c r="C15" s="53" t="s">
        <v>25</v>
      </c>
      <c r="D15" s="53" t="s">
        <v>12</v>
      </c>
      <c r="E15" s="54">
        <v>96418</v>
      </c>
      <c r="F15" s="55">
        <v>42092</v>
      </c>
      <c r="G15" s="56">
        <v>5</v>
      </c>
      <c r="H15" s="57" t="s">
        <v>27</v>
      </c>
      <c r="I15" s="58" t="s">
        <v>19</v>
      </c>
      <c r="K15" s="51"/>
      <c r="L15" s="51"/>
      <c r="M15" s="51"/>
    </row>
    <row r="16" spans="1:16">
      <c r="A16" s="52" t="s">
        <v>54</v>
      </c>
      <c r="B16" s="67" t="s">
        <v>38</v>
      </c>
      <c r="C16" s="53" t="s">
        <v>12</v>
      </c>
      <c r="D16" s="53" t="s">
        <v>34</v>
      </c>
      <c r="E16" s="54">
        <v>62158</v>
      </c>
      <c r="F16" s="55">
        <v>42099</v>
      </c>
      <c r="G16" s="56">
        <v>4</v>
      </c>
      <c r="H16" s="57" t="s">
        <v>12</v>
      </c>
      <c r="I16" s="58" t="s">
        <v>55</v>
      </c>
    </row>
    <row r="17" spans="1:13">
      <c r="A17" s="52" t="s">
        <v>56</v>
      </c>
      <c r="B17" s="53" t="s">
        <v>30</v>
      </c>
      <c r="C17" s="53" t="s">
        <v>16</v>
      </c>
      <c r="D17" s="53" t="s">
        <v>12</v>
      </c>
      <c r="E17" s="54">
        <v>59894</v>
      </c>
      <c r="F17" s="55">
        <v>42106</v>
      </c>
      <c r="G17" s="56">
        <v>2</v>
      </c>
      <c r="H17" s="57" t="s">
        <v>27</v>
      </c>
      <c r="I17" s="58" t="s">
        <v>57</v>
      </c>
    </row>
    <row r="18" spans="1:13">
      <c r="A18" s="52" t="s">
        <v>58</v>
      </c>
      <c r="B18" s="53" t="s">
        <v>12</v>
      </c>
      <c r="C18" s="53" t="s">
        <v>33</v>
      </c>
      <c r="D18" s="53" t="s">
        <v>34</v>
      </c>
      <c r="E18" s="54">
        <v>92443</v>
      </c>
      <c r="F18" s="55">
        <v>42113</v>
      </c>
      <c r="G18" s="56">
        <v>3</v>
      </c>
      <c r="H18" s="57" t="s">
        <v>18</v>
      </c>
      <c r="I18" s="58" t="s">
        <v>59</v>
      </c>
    </row>
    <row r="19" spans="1:13">
      <c r="A19" s="52" t="s">
        <v>60</v>
      </c>
      <c r="B19" s="67" t="s">
        <v>53</v>
      </c>
      <c r="C19" s="53" t="s">
        <v>12</v>
      </c>
      <c r="D19" s="53" t="s">
        <v>17</v>
      </c>
      <c r="E19" s="54">
        <v>90271</v>
      </c>
      <c r="F19" s="55">
        <v>42120</v>
      </c>
      <c r="G19" s="56">
        <v>2.9285714285714284</v>
      </c>
      <c r="H19" s="57" t="s">
        <v>12</v>
      </c>
      <c r="I19" s="58" t="s">
        <v>61</v>
      </c>
    </row>
    <row r="20" spans="1:13">
      <c r="A20" s="52" t="s">
        <v>62</v>
      </c>
      <c r="B20" s="53" t="s">
        <v>30</v>
      </c>
      <c r="C20" s="53" t="s">
        <v>10</v>
      </c>
      <c r="D20" s="53" t="s">
        <v>63</v>
      </c>
      <c r="E20" s="54">
        <v>41341</v>
      </c>
      <c r="F20" s="55">
        <v>42127</v>
      </c>
      <c r="G20" s="56">
        <v>1</v>
      </c>
      <c r="H20" s="57" t="s">
        <v>18</v>
      </c>
      <c r="I20" s="58" t="s">
        <v>64</v>
      </c>
    </row>
    <row r="21" spans="1:13">
      <c r="A21" s="52" t="s">
        <v>65</v>
      </c>
      <c r="B21" s="53" t="s">
        <v>21</v>
      </c>
      <c r="C21" s="53" t="s">
        <v>10</v>
      </c>
      <c r="D21" s="53" t="s">
        <v>46</v>
      </c>
      <c r="E21" s="54">
        <v>73602</v>
      </c>
      <c r="F21" s="55">
        <v>42134</v>
      </c>
      <c r="G21" s="56">
        <v>2.9459459459459461</v>
      </c>
      <c r="H21" s="57" t="s">
        <v>12</v>
      </c>
      <c r="I21" s="58" t="s">
        <v>66</v>
      </c>
    </row>
    <row r="22" spans="1:13">
      <c r="A22" s="52" t="s">
        <v>67</v>
      </c>
      <c r="B22" s="67" t="s">
        <v>15</v>
      </c>
      <c r="C22" s="53" t="s">
        <v>12</v>
      </c>
      <c r="D22" s="53" t="s">
        <v>34</v>
      </c>
      <c r="E22" s="54">
        <v>67531</v>
      </c>
      <c r="F22" s="55">
        <v>42141</v>
      </c>
      <c r="G22" s="56">
        <v>5</v>
      </c>
      <c r="H22" s="57" t="s">
        <v>35</v>
      </c>
      <c r="I22" s="58" t="s">
        <v>68</v>
      </c>
    </row>
    <row r="23" spans="1:13">
      <c r="A23" s="52" t="s">
        <v>69</v>
      </c>
      <c r="B23" s="53" t="s">
        <v>30</v>
      </c>
      <c r="C23" s="53" t="s">
        <v>16</v>
      </c>
      <c r="D23" s="53" t="s">
        <v>26</v>
      </c>
      <c r="E23" s="54">
        <v>65248.853658536587</v>
      </c>
      <c r="F23" s="55">
        <v>42148</v>
      </c>
      <c r="G23" s="56">
        <v>2</v>
      </c>
      <c r="H23" s="57" t="s">
        <v>18</v>
      </c>
      <c r="I23" s="58" t="s">
        <v>70</v>
      </c>
    </row>
    <row r="24" spans="1:13">
      <c r="A24" s="52" t="s">
        <v>71</v>
      </c>
      <c r="B24" s="53" t="s">
        <v>30</v>
      </c>
      <c r="C24" s="53" t="s">
        <v>16</v>
      </c>
      <c r="D24" s="53" t="s">
        <v>12</v>
      </c>
      <c r="E24" s="54">
        <v>98922</v>
      </c>
      <c r="F24" s="55">
        <v>42155</v>
      </c>
      <c r="G24" s="56">
        <v>4</v>
      </c>
      <c r="H24" s="57" t="s">
        <v>12</v>
      </c>
      <c r="I24" s="58" t="s">
        <v>72</v>
      </c>
    </row>
    <row r="25" spans="1:13">
      <c r="A25" s="52" t="s">
        <v>73</v>
      </c>
      <c r="B25" s="53" t="s">
        <v>15</v>
      </c>
      <c r="C25" s="53" t="s">
        <v>10</v>
      </c>
      <c r="D25" s="53" t="s">
        <v>34</v>
      </c>
      <c r="E25" s="54">
        <v>38333</v>
      </c>
      <c r="F25" s="55">
        <v>42162</v>
      </c>
      <c r="G25" s="56">
        <v>5</v>
      </c>
      <c r="H25" s="57" t="s">
        <v>12</v>
      </c>
      <c r="I25" s="58" t="s">
        <v>74</v>
      </c>
    </row>
    <row r="26" spans="1:13">
      <c r="A26" s="52" t="s">
        <v>75</v>
      </c>
      <c r="B26" s="53" t="s">
        <v>21</v>
      </c>
      <c r="C26" s="53" t="s">
        <v>41</v>
      </c>
      <c r="D26" s="53" t="s">
        <v>46</v>
      </c>
      <c r="E26" s="54">
        <v>36515</v>
      </c>
      <c r="F26" s="55">
        <v>42169</v>
      </c>
      <c r="G26" s="56">
        <v>3</v>
      </c>
      <c r="H26" s="57" t="s">
        <v>27</v>
      </c>
      <c r="I26" s="58" t="s">
        <v>76</v>
      </c>
    </row>
    <row r="27" spans="1:13">
      <c r="A27" s="52" t="s">
        <v>77</v>
      </c>
      <c r="B27" s="53" t="s">
        <v>38</v>
      </c>
      <c r="C27" s="53" t="s">
        <v>10</v>
      </c>
      <c r="D27" s="53" t="s">
        <v>12</v>
      </c>
      <c r="E27" s="54">
        <v>91005</v>
      </c>
      <c r="F27" s="55">
        <v>42176</v>
      </c>
      <c r="G27" s="56">
        <v>1</v>
      </c>
      <c r="H27" s="57" t="s">
        <v>18</v>
      </c>
      <c r="I27" s="58" t="s">
        <v>78</v>
      </c>
    </row>
    <row r="28" spans="1:13">
      <c r="A28" s="52" t="s">
        <v>79</v>
      </c>
      <c r="B28" s="53" t="s">
        <v>40</v>
      </c>
      <c r="C28" s="53" t="s">
        <v>12</v>
      </c>
      <c r="D28" s="53" t="s">
        <v>12</v>
      </c>
      <c r="E28" s="54">
        <v>52272</v>
      </c>
      <c r="F28" s="55">
        <v>42183</v>
      </c>
      <c r="G28" s="56">
        <v>3</v>
      </c>
      <c r="H28" s="57" t="s">
        <v>12</v>
      </c>
      <c r="I28" s="58" t="s">
        <v>80</v>
      </c>
    </row>
    <row r="29" spans="1:13">
      <c r="A29" s="52" t="s">
        <v>81</v>
      </c>
      <c r="B29" s="53" t="s">
        <v>15</v>
      </c>
      <c r="C29" s="53" t="s">
        <v>25</v>
      </c>
      <c r="D29" s="53" t="s">
        <v>17</v>
      </c>
      <c r="E29" s="54">
        <v>76518</v>
      </c>
      <c r="F29" s="55">
        <v>42190</v>
      </c>
      <c r="G29" s="56">
        <v>2</v>
      </c>
      <c r="H29" s="57" t="s">
        <v>35</v>
      </c>
      <c r="I29" s="58" t="s">
        <v>82</v>
      </c>
    </row>
    <row r="30" spans="1:13">
      <c r="A30" s="52" t="s">
        <v>83</v>
      </c>
      <c r="B30" s="53" t="s">
        <v>21</v>
      </c>
      <c r="C30" s="53" t="s">
        <v>33</v>
      </c>
      <c r="D30" s="53" t="s">
        <v>46</v>
      </c>
      <c r="E30" s="54">
        <v>41448</v>
      </c>
      <c r="F30" s="55">
        <v>42197</v>
      </c>
      <c r="G30" s="56">
        <v>3</v>
      </c>
      <c r="H30" s="57" t="s">
        <v>18</v>
      </c>
      <c r="I30" s="58" t="s">
        <v>84</v>
      </c>
    </row>
    <row r="31" spans="1:13">
      <c r="A31" s="52" t="s">
        <v>85</v>
      </c>
      <c r="B31" s="53" t="s">
        <v>24</v>
      </c>
      <c r="C31" s="53" t="s">
        <v>16</v>
      </c>
      <c r="D31" s="53" t="s">
        <v>46</v>
      </c>
      <c r="E31" s="54">
        <v>49282</v>
      </c>
      <c r="F31" s="55">
        <v>42204</v>
      </c>
      <c r="G31" s="56">
        <v>2</v>
      </c>
      <c r="H31" s="57" t="s">
        <v>35</v>
      </c>
      <c r="I31" s="58" t="s">
        <v>86</v>
      </c>
    </row>
    <row r="32" spans="1:13">
      <c r="A32" s="52" t="s">
        <v>87</v>
      </c>
      <c r="B32" s="53" t="s">
        <v>53</v>
      </c>
      <c r="C32" s="53" t="s">
        <v>41</v>
      </c>
      <c r="D32" s="53" t="s">
        <v>46</v>
      </c>
      <c r="E32" s="54">
        <v>92959</v>
      </c>
      <c r="F32" s="55">
        <v>42211</v>
      </c>
      <c r="G32" s="56">
        <v>5</v>
      </c>
      <c r="H32" s="57" t="s">
        <v>12</v>
      </c>
      <c r="I32" s="58" t="s">
        <v>88</v>
      </c>
      <c r="K32" s="62"/>
      <c r="L32" s="63"/>
      <c r="M32" s="64"/>
    </row>
    <row r="33" spans="1:13">
      <c r="A33" s="52" t="s">
        <v>89</v>
      </c>
      <c r="B33" s="53" t="s">
        <v>12</v>
      </c>
      <c r="C33" s="67" t="s">
        <v>41</v>
      </c>
      <c r="D33" s="53" t="s">
        <v>12</v>
      </c>
      <c r="E33" s="54">
        <v>92259</v>
      </c>
      <c r="F33" s="55" t="s">
        <v>12</v>
      </c>
      <c r="G33" s="56">
        <v>1</v>
      </c>
      <c r="H33" s="57" t="s">
        <v>12</v>
      </c>
      <c r="I33" s="58" t="s">
        <v>90</v>
      </c>
      <c r="K33" s="62"/>
      <c r="L33" s="63"/>
      <c r="M33" s="64"/>
    </row>
    <row r="34" spans="1:13">
      <c r="A34" s="52" t="s">
        <v>91</v>
      </c>
      <c r="B34" s="53" t="s">
        <v>15</v>
      </c>
      <c r="C34" s="53" t="s">
        <v>16</v>
      </c>
      <c r="D34" s="53" t="s">
        <v>17</v>
      </c>
      <c r="E34" s="54">
        <v>92299</v>
      </c>
      <c r="F34" s="55">
        <v>42225</v>
      </c>
      <c r="G34" s="56">
        <v>3</v>
      </c>
      <c r="H34" s="57" t="s">
        <v>27</v>
      </c>
      <c r="I34" s="58" t="s">
        <v>92</v>
      </c>
      <c r="K34" s="62"/>
      <c r="L34" s="63"/>
      <c r="M34" s="64"/>
    </row>
    <row r="35" spans="1:13">
      <c r="A35" s="52" t="s">
        <v>93</v>
      </c>
      <c r="B35" s="53" t="s">
        <v>38</v>
      </c>
      <c r="C35" s="53" t="s">
        <v>16</v>
      </c>
      <c r="D35" s="53" t="s">
        <v>12</v>
      </c>
      <c r="E35" s="54">
        <v>95586</v>
      </c>
      <c r="F35" s="55">
        <v>42232</v>
      </c>
      <c r="G35" s="56">
        <v>3</v>
      </c>
      <c r="H35" s="57" t="s">
        <v>18</v>
      </c>
      <c r="I35" s="58" t="s">
        <v>94</v>
      </c>
      <c r="K35" s="62"/>
      <c r="L35" s="63"/>
      <c r="M35" s="64"/>
    </row>
    <row r="36" spans="1:13">
      <c r="A36" s="52" t="s">
        <v>95</v>
      </c>
      <c r="B36" s="53" t="s">
        <v>40</v>
      </c>
      <c r="C36" s="53" t="s">
        <v>12</v>
      </c>
      <c r="D36" s="53" t="s">
        <v>26</v>
      </c>
      <c r="E36" s="54">
        <v>95367</v>
      </c>
      <c r="F36" s="55">
        <v>42239</v>
      </c>
      <c r="G36" s="56">
        <v>2.9381443298969074</v>
      </c>
      <c r="H36" s="57" t="s">
        <v>27</v>
      </c>
      <c r="I36" s="58" t="s">
        <v>96</v>
      </c>
      <c r="K36" s="68"/>
      <c r="L36" s="69"/>
      <c r="M36" s="70"/>
    </row>
    <row r="37" spans="1:13">
      <c r="A37" s="52" t="s">
        <v>97</v>
      </c>
      <c r="B37" s="53" t="s">
        <v>24</v>
      </c>
      <c r="C37" s="53" t="s">
        <v>25</v>
      </c>
      <c r="D37" s="53" t="s">
        <v>63</v>
      </c>
      <c r="E37" s="54">
        <v>79549</v>
      </c>
      <c r="F37" s="55">
        <v>42246</v>
      </c>
      <c r="G37" s="56">
        <v>3</v>
      </c>
      <c r="H37" s="57" t="s">
        <v>12</v>
      </c>
      <c r="I37" s="58" t="s">
        <v>98</v>
      </c>
      <c r="K37" s="51"/>
      <c r="L37" s="51"/>
      <c r="M37" s="51"/>
    </row>
    <row r="38" spans="1:13" ht="15.6">
      <c r="A38" s="52" t="s">
        <v>99</v>
      </c>
      <c r="B38" s="67" t="s">
        <v>21</v>
      </c>
      <c r="C38" s="53" t="s">
        <v>12</v>
      </c>
      <c r="D38" s="53" t="s">
        <v>46</v>
      </c>
      <c r="E38" s="54">
        <v>54463</v>
      </c>
      <c r="F38" s="55">
        <v>42253</v>
      </c>
      <c r="G38" s="56">
        <v>4</v>
      </c>
      <c r="H38" s="57" t="s">
        <v>27</v>
      </c>
      <c r="I38" s="58" t="s">
        <v>12</v>
      </c>
      <c r="K38" s="59"/>
      <c r="L38" s="60"/>
      <c r="M38" s="61"/>
    </row>
    <row r="39" spans="1:13">
      <c r="A39" s="52" t="s">
        <v>100</v>
      </c>
      <c r="B39" s="53" t="s">
        <v>21</v>
      </c>
      <c r="C39" s="53" t="s">
        <v>33</v>
      </c>
      <c r="D39" s="53" t="s">
        <v>26</v>
      </c>
      <c r="E39" s="54">
        <v>89781</v>
      </c>
      <c r="F39" s="55">
        <v>42260</v>
      </c>
      <c r="G39" s="56">
        <v>2.9263157894736844</v>
      </c>
      <c r="H39" s="57" t="s">
        <v>35</v>
      </c>
      <c r="I39" s="58" t="s">
        <v>101</v>
      </c>
      <c r="K39" s="62"/>
      <c r="L39" s="63"/>
      <c r="M39" s="64"/>
    </row>
    <row r="40" spans="1:13">
      <c r="A40" s="52" t="s">
        <v>102</v>
      </c>
      <c r="B40" s="53" t="s">
        <v>21</v>
      </c>
      <c r="C40" s="53" t="s">
        <v>16</v>
      </c>
      <c r="D40" s="53" t="s">
        <v>12</v>
      </c>
      <c r="E40" s="54">
        <v>64796</v>
      </c>
      <c r="F40" s="55">
        <v>42267</v>
      </c>
      <c r="G40" s="56">
        <v>2.9263157894736844</v>
      </c>
      <c r="H40" s="57" t="s">
        <v>18</v>
      </c>
      <c r="I40" s="58" t="s">
        <v>103</v>
      </c>
      <c r="K40" s="62"/>
      <c r="L40" s="63"/>
      <c r="M40" s="64"/>
    </row>
    <row r="41" spans="1:13">
      <c r="A41" s="52" t="s">
        <v>104</v>
      </c>
      <c r="B41" s="53" t="s">
        <v>24</v>
      </c>
      <c r="C41" s="53" t="s">
        <v>41</v>
      </c>
      <c r="D41" s="53" t="s">
        <v>46</v>
      </c>
      <c r="E41" s="54">
        <v>52093</v>
      </c>
      <c r="F41" s="55">
        <v>42274</v>
      </c>
      <c r="G41" s="56">
        <v>5</v>
      </c>
      <c r="H41" s="57" t="s">
        <v>12</v>
      </c>
      <c r="I41" s="58" t="s">
        <v>105</v>
      </c>
      <c r="K41" s="62"/>
      <c r="L41" s="63"/>
      <c r="M41" s="64"/>
    </row>
    <row r="42" spans="1:13">
      <c r="A42" s="52" t="s">
        <v>106</v>
      </c>
      <c r="B42" s="53" t="s">
        <v>40</v>
      </c>
      <c r="C42" s="53" t="s">
        <v>16</v>
      </c>
      <c r="D42" s="53" t="s">
        <v>46</v>
      </c>
      <c r="E42" s="54">
        <v>48224</v>
      </c>
      <c r="F42" s="55">
        <v>42281</v>
      </c>
      <c r="G42" s="56">
        <v>3</v>
      </c>
      <c r="H42" s="57" t="s">
        <v>12</v>
      </c>
      <c r="I42" s="58" t="s">
        <v>107</v>
      </c>
      <c r="K42" s="62"/>
      <c r="L42" s="63"/>
      <c r="M42" s="64"/>
    </row>
    <row r="43" spans="1:13">
      <c r="A43" s="52" t="s">
        <v>108</v>
      </c>
      <c r="B43" s="53" t="s">
        <v>53</v>
      </c>
      <c r="C43" s="53" t="s">
        <v>10</v>
      </c>
      <c r="D43" s="53" t="s">
        <v>46</v>
      </c>
      <c r="E43" s="54">
        <v>64268.634615384617</v>
      </c>
      <c r="F43" s="55" t="s">
        <v>12</v>
      </c>
      <c r="G43" s="56">
        <v>4</v>
      </c>
      <c r="H43" s="57" t="s">
        <v>35</v>
      </c>
      <c r="I43" s="58" t="s">
        <v>109</v>
      </c>
      <c r="K43" s="62"/>
      <c r="L43" s="63"/>
      <c r="M43" s="64"/>
    </row>
    <row r="44" spans="1:13">
      <c r="A44" s="52" t="s">
        <v>110</v>
      </c>
      <c r="B44" s="53" t="s">
        <v>21</v>
      </c>
      <c r="C44" s="53" t="s">
        <v>33</v>
      </c>
      <c r="D44" s="53" t="s">
        <v>17</v>
      </c>
      <c r="E44" s="54">
        <v>33956</v>
      </c>
      <c r="F44" s="55">
        <v>42295</v>
      </c>
      <c r="G44" s="56">
        <v>2.8913043478260869</v>
      </c>
      <c r="H44" s="57" t="s">
        <v>12</v>
      </c>
      <c r="I44" s="58" t="s">
        <v>111</v>
      </c>
      <c r="K44" s="62"/>
      <c r="L44" s="63"/>
      <c r="M44" s="64"/>
    </row>
    <row r="45" spans="1:13">
      <c r="A45" s="52" t="s">
        <v>112</v>
      </c>
      <c r="B45" s="67" t="s">
        <v>53</v>
      </c>
      <c r="C45" s="53" t="s">
        <v>12</v>
      </c>
      <c r="D45" s="53" t="s">
        <v>63</v>
      </c>
      <c r="E45" s="54">
        <v>64913</v>
      </c>
      <c r="F45" s="55">
        <v>42302</v>
      </c>
      <c r="G45" s="56">
        <v>1</v>
      </c>
      <c r="H45" s="57" t="s">
        <v>35</v>
      </c>
      <c r="I45" s="58" t="s">
        <v>113</v>
      </c>
      <c r="K45" s="62"/>
      <c r="L45" s="63"/>
      <c r="M45" s="64"/>
    </row>
    <row r="46" spans="1:13">
      <c r="A46" s="52" t="s">
        <v>114</v>
      </c>
      <c r="B46" s="53" t="s">
        <v>21</v>
      </c>
      <c r="C46" s="53" t="s">
        <v>41</v>
      </c>
      <c r="D46" s="53" t="s">
        <v>63</v>
      </c>
      <c r="E46" s="54">
        <v>35326</v>
      </c>
      <c r="F46" s="55">
        <v>42309</v>
      </c>
      <c r="G46" s="56">
        <v>2.912087912087912</v>
      </c>
      <c r="H46" s="57" t="s">
        <v>35</v>
      </c>
      <c r="I46" s="58" t="s">
        <v>115</v>
      </c>
      <c r="K46" s="62"/>
      <c r="L46" s="63"/>
      <c r="M46" s="64"/>
    </row>
    <row r="47" spans="1:13">
      <c r="A47" s="52" t="s">
        <v>116</v>
      </c>
      <c r="B47" s="53" t="s">
        <v>40</v>
      </c>
      <c r="C47" s="53" t="s">
        <v>10</v>
      </c>
      <c r="D47" s="53" t="s">
        <v>12</v>
      </c>
      <c r="E47" s="54">
        <v>81610</v>
      </c>
      <c r="F47" s="55">
        <v>42316</v>
      </c>
      <c r="G47" s="56">
        <v>1</v>
      </c>
      <c r="H47" s="57" t="s">
        <v>12</v>
      </c>
      <c r="I47" s="58" t="s">
        <v>117</v>
      </c>
      <c r="K47" s="68"/>
      <c r="L47" s="69"/>
      <c r="M47" s="70"/>
    </row>
    <row r="48" spans="1:13">
      <c r="A48" s="52" t="s">
        <v>118</v>
      </c>
      <c r="B48" s="53" t="s">
        <v>12</v>
      </c>
      <c r="C48" s="53" t="s">
        <v>16</v>
      </c>
      <c r="D48" s="53" t="s">
        <v>12</v>
      </c>
      <c r="E48" s="54">
        <v>58962</v>
      </c>
      <c r="F48" s="55">
        <v>42323</v>
      </c>
      <c r="G48" s="56">
        <v>3</v>
      </c>
      <c r="H48" s="57" t="s">
        <v>18</v>
      </c>
      <c r="I48" s="58" t="s">
        <v>19</v>
      </c>
      <c r="K48" s="51"/>
      <c r="L48" s="51"/>
      <c r="M48" s="51"/>
    </row>
    <row r="49" spans="1:13">
      <c r="A49" s="52" t="s">
        <v>119</v>
      </c>
      <c r="B49" s="53" t="s">
        <v>40</v>
      </c>
      <c r="C49" s="53" t="s">
        <v>33</v>
      </c>
      <c r="D49" s="53" t="s">
        <v>17</v>
      </c>
      <c r="E49" s="54">
        <v>92701</v>
      </c>
      <c r="F49" s="55">
        <v>42330</v>
      </c>
      <c r="G49" s="56">
        <v>3</v>
      </c>
      <c r="H49" s="57" t="s">
        <v>18</v>
      </c>
      <c r="I49" s="58" t="s">
        <v>120</v>
      </c>
      <c r="K49" s="51"/>
      <c r="L49" s="51"/>
      <c r="M49" s="51"/>
    </row>
    <row r="50" spans="1:13">
      <c r="A50" s="52" t="s">
        <v>121</v>
      </c>
      <c r="B50" s="53" t="s">
        <v>40</v>
      </c>
      <c r="C50" s="53" t="s">
        <v>16</v>
      </c>
      <c r="D50" s="53" t="s">
        <v>34</v>
      </c>
      <c r="E50" s="54">
        <v>58245</v>
      </c>
      <c r="F50" s="55">
        <v>42337</v>
      </c>
      <c r="G50" s="56">
        <v>4</v>
      </c>
      <c r="H50" s="57" t="s">
        <v>12</v>
      </c>
      <c r="I50" s="58" t="s">
        <v>122</v>
      </c>
      <c r="K50" s="51"/>
      <c r="L50" s="51"/>
      <c r="M50" s="51"/>
    </row>
    <row r="51" spans="1:13">
      <c r="A51" s="52" t="s">
        <v>123</v>
      </c>
      <c r="B51" s="53" t="s">
        <v>24</v>
      </c>
      <c r="C51" s="53" t="s">
        <v>10</v>
      </c>
      <c r="D51" s="53" t="s">
        <v>12</v>
      </c>
      <c r="E51" s="54">
        <v>66513</v>
      </c>
      <c r="F51" s="55">
        <v>42344</v>
      </c>
      <c r="G51" s="56">
        <v>2</v>
      </c>
      <c r="H51" s="57" t="s">
        <v>18</v>
      </c>
      <c r="I51" s="58" t="s">
        <v>36</v>
      </c>
      <c r="K51" s="51"/>
      <c r="L51" s="51"/>
      <c r="M51" s="51"/>
    </row>
    <row r="52" spans="1:13">
      <c r="A52" s="52" t="s">
        <v>124</v>
      </c>
      <c r="B52" s="53" t="s">
        <v>15</v>
      </c>
      <c r="C52" s="53" t="s">
        <v>16</v>
      </c>
      <c r="D52" s="53" t="s">
        <v>17</v>
      </c>
      <c r="E52" s="54">
        <v>78720</v>
      </c>
      <c r="F52" s="55">
        <v>42351</v>
      </c>
      <c r="G52" s="56">
        <v>5</v>
      </c>
      <c r="H52" s="57" t="s">
        <v>35</v>
      </c>
      <c r="I52" s="58" t="s">
        <v>109</v>
      </c>
      <c r="K52" s="51"/>
      <c r="L52" s="51"/>
      <c r="M52" s="51"/>
    </row>
    <row r="53" spans="1:13">
      <c r="A53" s="52" t="s">
        <v>125</v>
      </c>
      <c r="B53" s="53" t="s">
        <v>40</v>
      </c>
      <c r="C53" s="53" t="s">
        <v>12</v>
      </c>
      <c r="D53" s="53" t="s">
        <v>12</v>
      </c>
      <c r="E53" s="54">
        <v>30686</v>
      </c>
      <c r="F53" s="55" t="s">
        <v>12</v>
      </c>
      <c r="G53" s="56">
        <v>2</v>
      </c>
      <c r="H53" s="57" t="s">
        <v>35</v>
      </c>
      <c r="I53" s="58" t="s">
        <v>126</v>
      </c>
      <c r="K53" s="51"/>
      <c r="L53" s="51"/>
      <c r="M53" s="51"/>
    </row>
    <row r="54" spans="1:13">
      <c r="A54" s="52" t="s">
        <v>127</v>
      </c>
      <c r="B54" s="53" t="s">
        <v>38</v>
      </c>
      <c r="C54" s="53" t="s">
        <v>25</v>
      </c>
      <c r="D54" s="53" t="s">
        <v>34</v>
      </c>
      <c r="E54" s="54">
        <v>39423</v>
      </c>
      <c r="F54" s="55">
        <v>42365</v>
      </c>
      <c r="G54" s="56">
        <v>5</v>
      </c>
      <c r="H54" s="57" t="s">
        <v>12</v>
      </c>
      <c r="I54" s="58" t="s">
        <v>128</v>
      </c>
      <c r="K54" s="51"/>
      <c r="L54" s="51"/>
      <c r="M54" s="51"/>
    </row>
    <row r="55" spans="1:13">
      <c r="A55" s="52" t="s">
        <v>129</v>
      </c>
      <c r="B55" s="53" t="s">
        <v>15</v>
      </c>
      <c r="C55" s="67" t="s">
        <v>41</v>
      </c>
      <c r="D55" s="53" t="s">
        <v>12</v>
      </c>
      <c r="E55" s="54">
        <v>30280</v>
      </c>
      <c r="F55" s="55">
        <v>42372</v>
      </c>
      <c r="G55" s="56">
        <v>1</v>
      </c>
      <c r="H55" s="57" t="s">
        <v>12</v>
      </c>
      <c r="I55" s="58" t="s">
        <v>130</v>
      </c>
      <c r="K55" s="51"/>
      <c r="L55" s="51"/>
      <c r="M55" s="51"/>
    </row>
    <row r="56" spans="1:13">
      <c r="A56" s="52" t="s">
        <v>131</v>
      </c>
      <c r="B56" s="53" t="s">
        <v>15</v>
      </c>
      <c r="C56" s="53" t="s">
        <v>10</v>
      </c>
      <c r="D56" s="53" t="s">
        <v>46</v>
      </c>
      <c r="E56" s="54">
        <v>33352</v>
      </c>
      <c r="F56" s="55">
        <v>42379</v>
      </c>
      <c r="G56" s="56">
        <v>3</v>
      </c>
      <c r="H56" s="57" t="s">
        <v>35</v>
      </c>
      <c r="I56" s="58" t="s">
        <v>70</v>
      </c>
      <c r="K56" s="51"/>
      <c r="L56" s="51"/>
      <c r="M56" s="51"/>
    </row>
    <row r="57" spans="1:13">
      <c r="A57" s="52" t="s">
        <v>132</v>
      </c>
      <c r="B57" s="53" t="s">
        <v>53</v>
      </c>
      <c r="C57" s="53" t="s">
        <v>41</v>
      </c>
      <c r="D57" s="53" t="s">
        <v>46</v>
      </c>
      <c r="E57" s="54">
        <v>75633</v>
      </c>
      <c r="F57" s="55">
        <v>42386</v>
      </c>
      <c r="G57" s="56">
        <v>5</v>
      </c>
      <c r="H57" s="57" t="s">
        <v>18</v>
      </c>
      <c r="I57" s="58" t="s">
        <v>133</v>
      </c>
      <c r="K57" s="51"/>
      <c r="L57" s="51"/>
      <c r="M57" s="51"/>
    </row>
    <row r="58" spans="1:13">
      <c r="A58" s="52" t="s">
        <v>134</v>
      </c>
      <c r="B58" s="53" t="s">
        <v>40</v>
      </c>
      <c r="C58" s="53" t="s">
        <v>12</v>
      </c>
      <c r="D58" s="53" t="s">
        <v>26</v>
      </c>
      <c r="E58" s="54">
        <v>74815</v>
      </c>
      <c r="F58" s="55">
        <v>42393</v>
      </c>
      <c r="G58" s="56">
        <v>5</v>
      </c>
      <c r="H58" s="57" t="s">
        <v>35</v>
      </c>
      <c r="I58" s="58" t="s">
        <v>135</v>
      </c>
      <c r="K58" s="51"/>
      <c r="L58" s="51"/>
      <c r="M58" s="51"/>
    </row>
    <row r="59" spans="1:13">
      <c r="A59" s="52" t="s">
        <v>136</v>
      </c>
      <c r="B59" s="53" t="s">
        <v>24</v>
      </c>
      <c r="C59" s="53" t="s">
        <v>25</v>
      </c>
      <c r="D59" s="53" t="s">
        <v>63</v>
      </c>
      <c r="E59" s="54">
        <v>60011</v>
      </c>
      <c r="F59" s="55">
        <v>42400</v>
      </c>
      <c r="G59" s="56">
        <v>1</v>
      </c>
      <c r="H59" s="57" t="s">
        <v>27</v>
      </c>
      <c r="I59" s="58" t="s">
        <v>137</v>
      </c>
      <c r="K59" s="51"/>
      <c r="L59" s="51"/>
      <c r="M59" s="51"/>
    </row>
    <row r="60" spans="1:13">
      <c r="A60" s="52" t="s">
        <v>138</v>
      </c>
      <c r="B60" s="67" t="s">
        <v>15</v>
      </c>
      <c r="C60" s="53" t="s">
        <v>12</v>
      </c>
      <c r="D60" s="53" t="s">
        <v>34</v>
      </c>
      <c r="E60" s="54">
        <v>96949</v>
      </c>
      <c r="F60" s="55">
        <v>42407</v>
      </c>
      <c r="G60" s="56">
        <v>3</v>
      </c>
      <c r="H60" s="57" t="s">
        <v>12</v>
      </c>
      <c r="I60" s="58" t="s">
        <v>84</v>
      </c>
      <c r="K60" s="51"/>
      <c r="L60" s="51"/>
      <c r="M60" s="51"/>
    </row>
    <row r="61" spans="1:13">
      <c r="A61" s="52" t="s">
        <v>139</v>
      </c>
      <c r="B61" s="53" t="s">
        <v>38</v>
      </c>
      <c r="C61" s="67" t="s">
        <v>41</v>
      </c>
      <c r="D61" s="53" t="s">
        <v>12</v>
      </c>
      <c r="E61" s="54">
        <v>84924</v>
      </c>
      <c r="F61" s="55">
        <v>42414</v>
      </c>
      <c r="G61" s="56">
        <v>5</v>
      </c>
      <c r="H61" s="57" t="s">
        <v>27</v>
      </c>
      <c r="I61" s="58" t="s">
        <v>140</v>
      </c>
      <c r="K61" s="51"/>
      <c r="L61" s="51"/>
      <c r="M61" s="51"/>
    </row>
    <row r="62" spans="1:13">
      <c r="A62" s="52" t="s">
        <v>141</v>
      </c>
      <c r="B62" s="53" t="s">
        <v>38</v>
      </c>
      <c r="C62" s="53" t="s">
        <v>10</v>
      </c>
      <c r="D62" s="53" t="s">
        <v>26</v>
      </c>
      <c r="E62" s="54">
        <v>82033</v>
      </c>
      <c r="F62" s="55">
        <v>42421</v>
      </c>
      <c r="G62" s="56">
        <v>1</v>
      </c>
      <c r="H62" s="57" t="s">
        <v>12</v>
      </c>
      <c r="I62" s="58" t="s">
        <v>117</v>
      </c>
      <c r="K62" s="51"/>
      <c r="L62" s="51"/>
      <c r="M62" s="51"/>
    </row>
    <row r="63" spans="1:13">
      <c r="A63" s="52" t="s">
        <v>142</v>
      </c>
      <c r="B63" s="53" t="s">
        <v>12</v>
      </c>
      <c r="C63" s="53" t="s">
        <v>41</v>
      </c>
      <c r="D63" s="53" t="s">
        <v>17</v>
      </c>
      <c r="E63" s="54">
        <v>64763.364705882355</v>
      </c>
      <c r="F63" s="55" t="s">
        <v>12</v>
      </c>
      <c r="G63" s="56">
        <v>5</v>
      </c>
      <c r="H63" s="57" t="s">
        <v>12</v>
      </c>
      <c r="I63" s="58" t="s">
        <v>143</v>
      </c>
      <c r="K63" s="51"/>
      <c r="L63" s="51"/>
      <c r="M63" s="51"/>
    </row>
    <row r="64" spans="1:13">
      <c r="A64" s="52" t="s">
        <v>144</v>
      </c>
      <c r="B64" s="67" t="s">
        <v>15</v>
      </c>
      <c r="C64" s="53" t="s">
        <v>12</v>
      </c>
      <c r="D64" s="53" t="s">
        <v>63</v>
      </c>
      <c r="E64" s="54">
        <v>31499</v>
      </c>
      <c r="F64" s="55">
        <v>42435</v>
      </c>
      <c r="G64" s="56">
        <v>2</v>
      </c>
      <c r="H64" s="57" t="s">
        <v>12</v>
      </c>
      <c r="I64" s="58" t="s">
        <v>101</v>
      </c>
      <c r="K64" s="51"/>
      <c r="L64" s="51"/>
      <c r="M64" s="51"/>
    </row>
    <row r="65" spans="1:13">
      <c r="A65" s="52" t="s">
        <v>145</v>
      </c>
      <c r="B65" s="53" t="s">
        <v>40</v>
      </c>
      <c r="C65" s="53" t="s">
        <v>33</v>
      </c>
      <c r="D65" s="53" t="s">
        <v>46</v>
      </c>
      <c r="E65" s="54">
        <v>97981</v>
      </c>
      <c r="F65" s="55">
        <v>42442</v>
      </c>
      <c r="G65" s="56">
        <v>5</v>
      </c>
      <c r="H65" s="57" t="s">
        <v>35</v>
      </c>
      <c r="I65" s="58" t="s">
        <v>146</v>
      </c>
      <c r="K65" s="51"/>
      <c r="L65" s="51"/>
      <c r="M65" s="51"/>
    </row>
    <row r="66" spans="1:13">
      <c r="A66" s="52" t="s">
        <v>147</v>
      </c>
      <c r="B66" s="53" t="s">
        <v>15</v>
      </c>
      <c r="C66" s="53" t="s">
        <v>16</v>
      </c>
      <c r="D66" s="53" t="s">
        <v>26</v>
      </c>
      <c r="E66" s="54">
        <v>36541</v>
      </c>
      <c r="F66" s="55">
        <v>42449</v>
      </c>
      <c r="G66" s="56">
        <v>2</v>
      </c>
      <c r="H66" s="57" t="s">
        <v>18</v>
      </c>
      <c r="I66" s="58" t="s">
        <v>148</v>
      </c>
      <c r="K66" s="51"/>
      <c r="L66" s="51"/>
      <c r="M66" s="51"/>
    </row>
    <row r="67" spans="1:13">
      <c r="A67" s="52" t="s">
        <v>149</v>
      </c>
      <c r="B67" s="53" t="s">
        <v>24</v>
      </c>
      <c r="C67" s="53" t="s">
        <v>33</v>
      </c>
      <c r="D67" s="53" t="s">
        <v>34</v>
      </c>
      <c r="E67" s="54">
        <v>84737</v>
      </c>
      <c r="F67" s="55">
        <v>42456</v>
      </c>
      <c r="G67" s="56">
        <v>1</v>
      </c>
      <c r="H67" s="57" t="s">
        <v>27</v>
      </c>
      <c r="I67" s="58" t="s">
        <v>150</v>
      </c>
      <c r="K67" s="51"/>
      <c r="L67" s="51"/>
      <c r="M67" s="51"/>
    </row>
    <row r="68" spans="1:13">
      <c r="A68" s="52" t="s">
        <v>151</v>
      </c>
      <c r="B68" s="53" t="s">
        <v>38</v>
      </c>
      <c r="C68" s="53" t="s">
        <v>10</v>
      </c>
      <c r="D68" s="53" t="s">
        <v>34</v>
      </c>
      <c r="E68" s="54">
        <v>33468</v>
      </c>
      <c r="F68" s="55">
        <v>42463</v>
      </c>
      <c r="G68" s="56">
        <v>4</v>
      </c>
      <c r="H68" s="57" t="s">
        <v>27</v>
      </c>
      <c r="I68" s="58" t="s">
        <v>152</v>
      </c>
      <c r="K68" s="51"/>
      <c r="L68" s="51"/>
      <c r="M68" s="51"/>
    </row>
    <row r="69" spans="1:13">
      <c r="A69" s="52" t="s">
        <v>153</v>
      </c>
      <c r="B69" s="67" t="s">
        <v>38</v>
      </c>
      <c r="C69" s="53" t="s">
        <v>12</v>
      </c>
      <c r="D69" s="53" t="s">
        <v>63</v>
      </c>
      <c r="E69" s="54">
        <v>96365</v>
      </c>
      <c r="F69" s="55">
        <v>42470</v>
      </c>
      <c r="G69" s="56">
        <v>3</v>
      </c>
      <c r="H69" s="57" t="s">
        <v>18</v>
      </c>
      <c r="I69" s="58" t="s">
        <v>154</v>
      </c>
      <c r="K69" s="51"/>
      <c r="L69" s="51"/>
      <c r="M69" s="51"/>
    </row>
    <row r="70" spans="1:13">
      <c r="A70" s="52" t="s">
        <v>155</v>
      </c>
      <c r="B70" s="53" t="s">
        <v>21</v>
      </c>
      <c r="C70" s="53" t="s">
        <v>25</v>
      </c>
      <c r="D70" s="53" t="s">
        <v>34</v>
      </c>
      <c r="E70" s="54">
        <v>61942</v>
      </c>
      <c r="F70" s="55">
        <v>42477</v>
      </c>
      <c r="G70" s="56">
        <v>3</v>
      </c>
      <c r="H70" s="57" t="s">
        <v>35</v>
      </c>
      <c r="I70" s="58" t="s">
        <v>156</v>
      </c>
      <c r="K70" s="51"/>
      <c r="L70" s="51"/>
      <c r="M70" s="51"/>
    </row>
    <row r="71" spans="1:13">
      <c r="A71" s="52" t="s">
        <v>157</v>
      </c>
      <c r="B71" s="53" t="s">
        <v>38</v>
      </c>
      <c r="C71" s="53" t="s">
        <v>10</v>
      </c>
      <c r="D71" s="53" t="s">
        <v>46</v>
      </c>
      <c r="E71" s="54">
        <v>41467</v>
      </c>
      <c r="F71" s="55">
        <v>42484</v>
      </c>
      <c r="G71" s="56">
        <v>2</v>
      </c>
      <c r="H71" s="57" t="s">
        <v>12</v>
      </c>
      <c r="I71" s="58" t="s">
        <v>72</v>
      </c>
      <c r="K71" s="51"/>
      <c r="L71" s="51"/>
      <c r="M71" s="51"/>
    </row>
    <row r="72" spans="1:13">
      <c r="A72" s="52" t="s">
        <v>158</v>
      </c>
      <c r="B72" s="53" t="s">
        <v>53</v>
      </c>
      <c r="C72" s="53" t="s">
        <v>10</v>
      </c>
      <c r="D72" s="53" t="s">
        <v>34</v>
      </c>
      <c r="E72" s="54">
        <v>77096</v>
      </c>
      <c r="F72" s="55">
        <v>42491</v>
      </c>
      <c r="G72" s="56">
        <v>1</v>
      </c>
      <c r="H72" s="57" t="s">
        <v>12</v>
      </c>
      <c r="I72" s="58" t="s">
        <v>159</v>
      </c>
      <c r="K72" s="51"/>
      <c r="L72" s="51"/>
      <c r="M72" s="51"/>
    </row>
    <row r="73" spans="1:13">
      <c r="A73" s="52" t="s">
        <v>160</v>
      </c>
      <c r="B73" s="53" t="s">
        <v>15</v>
      </c>
      <c r="C73" s="53" t="s">
        <v>25</v>
      </c>
      <c r="D73" s="53" t="s">
        <v>63</v>
      </c>
      <c r="E73" s="54">
        <v>69952</v>
      </c>
      <c r="F73" s="55">
        <v>42498</v>
      </c>
      <c r="G73" s="56">
        <v>5</v>
      </c>
      <c r="H73" s="57" t="s">
        <v>35</v>
      </c>
      <c r="I73" s="58" t="s">
        <v>12</v>
      </c>
      <c r="K73" s="51"/>
      <c r="L73" s="51"/>
      <c r="M73" s="51"/>
    </row>
    <row r="74" spans="1:13">
      <c r="A74" s="52" t="s">
        <v>161</v>
      </c>
      <c r="B74" s="53" t="s">
        <v>15</v>
      </c>
      <c r="C74" s="53" t="s">
        <v>41</v>
      </c>
      <c r="D74" s="53" t="s">
        <v>26</v>
      </c>
      <c r="E74" s="54">
        <v>85065</v>
      </c>
      <c r="F74" s="55">
        <v>42505</v>
      </c>
      <c r="G74" s="56">
        <v>3</v>
      </c>
      <c r="H74" s="57" t="s">
        <v>12</v>
      </c>
      <c r="I74" s="58" t="s">
        <v>162</v>
      </c>
      <c r="K74" s="51"/>
      <c r="L74" s="51"/>
      <c r="M74" s="51"/>
    </row>
    <row r="75" spans="1:13">
      <c r="A75" s="52" t="s">
        <v>163</v>
      </c>
      <c r="B75" s="53" t="s">
        <v>53</v>
      </c>
      <c r="C75" s="53" t="s">
        <v>41</v>
      </c>
      <c r="D75" s="53" t="s">
        <v>34</v>
      </c>
      <c r="E75" s="54">
        <v>56512</v>
      </c>
      <c r="F75" s="55">
        <v>42512</v>
      </c>
      <c r="G75" s="56">
        <v>2.8571428571428572</v>
      </c>
      <c r="H75" s="57" t="s">
        <v>18</v>
      </c>
      <c r="I75" s="58" t="s">
        <v>47</v>
      </c>
      <c r="K75" s="51"/>
      <c r="L75" s="51"/>
      <c r="M75" s="51"/>
    </row>
    <row r="76" spans="1:13">
      <c r="A76" s="52" t="s">
        <v>164</v>
      </c>
      <c r="B76" s="53" t="s">
        <v>24</v>
      </c>
      <c r="C76" s="53" t="s">
        <v>25</v>
      </c>
      <c r="D76" s="53" t="s">
        <v>34</v>
      </c>
      <c r="E76" s="54">
        <v>91101</v>
      </c>
      <c r="F76" s="55">
        <v>42519</v>
      </c>
      <c r="G76" s="56">
        <v>4</v>
      </c>
      <c r="H76" s="57" t="s">
        <v>35</v>
      </c>
      <c r="I76" s="58" t="s">
        <v>146</v>
      </c>
      <c r="K76" s="51"/>
      <c r="L76" s="51"/>
      <c r="M76" s="51"/>
    </row>
    <row r="77" spans="1:13">
      <c r="A77" s="52" t="s">
        <v>165</v>
      </c>
      <c r="B77" s="67" t="s">
        <v>38</v>
      </c>
      <c r="C77" s="53" t="s">
        <v>12</v>
      </c>
      <c r="D77" s="53" t="s">
        <v>17</v>
      </c>
      <c r="E77" s="54">
        <v>41243</v>
      </c>
      <c r="F77" s="55">
        <v>42526</v>
      </c>
      <c r="G77" s="56">
        <v>2.838709677419355</v>
      </c>
      <c r="H77" s="57" t="s">
        <v>12</v>
      </c>
      <c r="I77" s="58" t="s">
        <v>92</v>
      </c>
      <c r="K77" s="51"/>
      <c r="L77" s="51"/>
      <c r="M77" s="51"/>
    </row>
    <row r="78" spans="1:13">
      <c r="A78" s="52" t="s">
        <v>166</v>
      </c>
      <c r="B78" s="53" t="s">
        <v>12</v>
      </c>
      <c r="C78" s="53" t="s">
        <v>25</v>
      </c>
      <c r="D78" s="53" t="s">
        <v>12</v>
      </c>
      <c r="E78" s="54">
        <v>96142</v>
      </c>
      <c r="F78" s="55">
        <v>42533</v>
      </c>
      <c r="G78" s="56">
        <v>1</v>
      </c>
      <c r="H78" s="57" t="s">
        <v>18</v>
      </c>
      <c r="I78" s="58" t="s">
        <v>167</v>
      </c>
      <c r="K78" s="51"/>
      <c r="L78" s="51"/>
      <c r="M78" s="51"/>
    </row>
    <row r="79" spans="1:13">
      <c r="A79" s="52" t="s">
        <v>168</v>
      </c>
      <c r="B79" s="53" t="s">
        <v>15</v>
      </c>
      <c r="C79" s="53" t="s">
        <v>33</v>
      </c>
      <c r="D79" s="53" t="s">
        <v>34</v>
      </c>
      <c r="E79" s="54">
        <v>94301</v>
      </c>
      <c r="F79" s="55">
        <v>42540</v>
      </c>
      <c r="G79" s="56">
        <v>1</v>
      </c>
      <c r="H79" s="57" t="s">
        <v>27</v>
      </c>
      <c r="I79" s="58" t="s">
        <v>117</v>
      </c>
      <c r="K79" s="51"/>
      <c r="L79" s="51"/>
      <c r="M79" s="51"/>
    </row>
    <row r="80" spans="1:13">
      <c r="A80" s="52" t="s">
        <v>169</v>
      </c>
      <c r="B80" s="67" t="s">
        <v>30</v>
      </c>
      <c r="C80" s="53" t="s">
        <v>12</v>
      </c>
      <c r="D80" s="53" t="s">
        <v>46</v>
      </c>
      <c r="E80" s="54">
        <v>69166</v>
      </c>
      <c r="F80" s="55">
        <v>42547</v>
      </c>
      <c r="G80" s="56">
        <v>1</v>
      </c>
      <c r="H80" s="57" t="s">
        <v>35</v>
      </c>
      <c r="I80" s="58" t="s">
        <v>170</v>
      </c>
      <c r="K80" s="51"/>
      <c r="L80" s="51"/>
      <c r="M80" s="51"/>
    </row>
    <row r="81" spans="1:13">
      <c r="A81" s="52" t="s">
        <v>171</v>
      </c>
      <c r="B81" s="67" t="s">
        <v>38</v>
      </c>
      <c r="C81" s="53" t="s">
        <v>12</v>
      </c>
      <c r="D81" s="53" t="s">
        <v>46</v>
      </c>
      <c r="E81" s="54">
        <v>78245</v>
      </c>
      <c r="F81" s="55">
        <v>42554</v>
      </c>
      <c r="G81" s="56">
        <v>2</v>
      </c>
      <c r="H81" s="57" t="s">
        <v>12</v>
      </c>
      <c r="I81" s="58" t="s">
        <v>172</v>
      </c>
      <c r="K81" s="51"/>
      <c r="L81" s="51"/>
      <c r="M81" s="51"/>
    </row>
    <row r="82" spans="1:13">
      <c r="A82" s="52" t="s">
        <v>173</v>
      </c>
      <c r="B82" s="53" t="s">
        <v>40</v>
      </c>
      <c r="C82" s="53" t="s">
        <v>25</v>
      </c>
      <c r="D82" s="53" t="s">
        <v>26</v>
      </c>
      <c r="E82" s="54">
        <v>66079</v>
      </c>
      <c r="F82" s="55">
        <v>42561</v>
      </c>
      <c r="G82" s="56">
        <v>2</v>
      </c>
      <c r="H82" s="57" t="s">
        <v>18</v>
      </c>
      <c r="I82" s="58" t="s">
        <v>174</v>
      </c>
      <c r="K82" s="51"/>
      <c r="L82" s="51"/>
      <c r="M82" s="51"/>
    </row>
    <row r="83" spans="1:13">
      <c r="A83" s="52" t="s">
        <v>175</v>
      </c>
      <c r="B83" s="53" t="s">
        <v>15</v>
      </c>
      <c r="C83" s="53" t="s">
        <v>41</v>
      </c>
      <c r="D83" s="53" t="s">
        <v>34</v>
      </c>
      <c r="E83" s="54">
        <v>63575.515151515152</v>
      </c>
      <c r="F83" s="55" t="s">
        <v>12</v>
      </c>
      <c r="G83" s="56">
        <v>2.9649122807017543</v>
      </c>
      <c r="H83" s="57" t="s">
        <v>12</v>
      </c>
      <c r="I83" s="58" t="s">
        <v>86</v>
      </c>
      <c r="K83" s="51"/>
      <c r="L83" s="51"/>
      <c r="M83" s="51"/>
    </row>
    <row r="84" spans="1:13">
      <c r="A84" s="52" t="s">
        <v>176</v>
      </c>
      <c r="B84" s="53" t="s">
        <v>30</v>
      </c>
      <c r="C84" s="53" t="s">
        <v>25</v>
      </c>
      <c r="D84" s="53" t="s">
        <v>26</v>
      </c>
      <c r="E84" s="54">
        <v>95621</v>
      </c>
      <c r="F84" s="55">
        <v>42575</v>
      </c>
      <c r="G84" s="56">
        <v>3</v>
      </c>
      <c r="H84" s="57" t="s">
        <v>35</v>
      </c>
      <c r="I84" s="58" t="s">
        <v>177</v>
      </c>
      <c r="K84" s="51"/>
      <c r="L84" s="51"/>
      <c r="M84" s="51"/>
    </row>
    <row r="85" spans="1:13">
      <c r="A85" s="52" t="s">
        <v>178</v>
      </c>
      <c r="B85" s="53" t="s">
        <v>15</v>
      </c>
      <c r="C85" s="53" t="s">
        <v>33</v>
      </c>
      <c r="D85" s="53" t="s">
        <v>46</v>
      </c>
      <c r="E85" s="54">
        <v>42262</v>
      </c>
      <c r="F85" s="55">
        <v>42582</v>
      </c>
      <c r="G85" s="56">
        <v>1</v>
      </c>
      <c r="H85" s="57" t="s">
        <v>12</v>
      </c>
      <c r="I85" s="58" t="s">
        <v>179</v>
      </c>
      <c r="K85" s="51"/>
      <c r="L85" s="51"/>
      <c r="M85" s="51"/>
    </row>
    <row r="86" spans="1:13">
      <c r="A86" s="52" t="s">
        <v>180</v>
      </c>
      <c r="B86" s="53" t="s">
        <v>38</v>
      </c>
      <c r="C86" s="53" t="s">
        <v>25</v>
      </c>
      <c r="D86" s="53" t="s">
        <v>34</v>
      </c>
      <c r="E86" s="54">
        <v>99621</v>
      </c>
      <c r="F86" s="55">
        <v>42589</v>
      </c>
      <c r="G86" s="56">
        <v>3</v>
      </c>
      <c r="H86" s="57" t="s">
        <v>18</v>
      </c>
      <c r="I86" s="58" t="s">
        <v>181</v>
      </c>
      <c r="K86" s="51"/>
      <c r="L86" s="51"/>
      <c r="M86" s="51"/>
    </row>
    <row r="87" spans="1:13">
      <c r="A87" s="52" t="s">
        <v>182</v>
      </c>
      <c r="B87" s="53" t="s">
        <v>24</v>
      </c>
      <c r="C87" s="53" t="s">
        <v>41</v>
      </c>
      <c r="D87" s="53" t="s">
        <v>34</v>
      </c>
      <c r="E87" s="54">
        <v>44682</v>
      </c>
      <c r="F87" s="55">
        <v>42596</v>
      </c>
      <c r="G87" s="56">
        <v>4</v>
      </c>
      <c r="H87" s="57" t="s">
        <v>35</v>
      </c>
      <c r="I87" s="58" t="s">
        <v>111</v>
      </c>
      <c r="K87" s="51"/>
      <c r="L87" s="51"/>
      <c r="M87" s="51"/>
    </row>
    <row r="88" spans="1:13">
      <c r="A88" s="52" t="s">
        <v>183</v>
      </c>
      <c r="B88" s="53" t="s">
        <v>40</v>
      </c>
      <c r="C88" s="53" t="s">
        <v>10</v>
      </c>
      <c r="D88" s="53" t="s">
        <v>12</v>
      </c>
      <c r="E88" s="54">
        <v>35163</v>
      </c>
      <c r="F88" s="55">
        <v>42603</v>
      </c>
      <c r="G88" s="56">
        <v>5</v>
      </c>
      <c r="H88" s="57" t="s">
        <v>18</v>
      </c>
      <c r="I88" s="58" t="s">
        <v>184</v>
      </c>
      <c r="K88" s="51"/>
      <c r="L88" s="51"/>
      <c r="M88" s="51"/>
    </row>
    <row r="89" spans="1:13">
      <c r="A89" s="52" t="s">
        <v>185</v>
      </c>
      <c r="B89" s="53" t="s">
        <v>40</v>
      </c>
      <c r="C89" s="53" t="s">
        <v>33</v>
      </c>
      <c r="D89" s="53" t="s">
        <v>34</v>
      </c>
      <c r="E89" s="54">
        <v>33483</v>
      </c>
      <c r="F89" s="55">
        <v>42610</v>
      </c>
      <c r="G89" s="56">
        <v>4</v>
      </c>
      <c r="H89" s="57" t="s">
        <v>27</v>
      </c>
      <c r="I89" s="58" t="s">
        <v>186</v>
      </c>
      <c r="K89" s="51"/>
      <c r="L89" s="51"/>
      <c r="M89" s="51"/>
    </row>
    <row r="90" spans="1:13">
      <c r="A90" s="52" t="s">
        <v>187</v>
      </c>
      <c r="B90" s="53" t="s">
        <v>38</v>
      </c>
      <c r="C90" s="53" t="s">
        <v>16</v>
      </c>
      <c r="D90" s="53" t="s">
        <v>17</v>
      </c>
      <c r="E90" s="54">
        <v>55303</v>
      </c>
      <c r="F90" s="55">
        <v>42617</v>
      </c>
      <c r="G90" s="56">
        <v>4</v>
      </c>
      <c r="H90" s="57" t="s">
        <v>27</v>
      </c>
      <c r="I90" s="58" t="s">
        <v>76</v>
      </c>
      <c r="K90" s="51"/>
      <c r="L90" s="51"/>
      <c r="M90" s="51"/>
    </row>
    <row r="91" spans="1:13">
      <c r="A91" s="52" t="s">
        <v>188</v>
      </c>
      <c r="B91" s="53" t="s">
        <v>40</v>
      </c>
      <c r="C91" s="53" t="s">
        <v>33</v>
      </c>
      <c r="D91" s="53" t="s">
        <v>12</v>
      </c>
      <c r="E91" s="54">
        <v>63434</v>
      </c>
      <c r="F91" s="55">
        <v>42624</v>
      </c>
      <c r="G91" s="56">
        <v>3</v>
      </c>
      <c r="H91" s="57" t="s">
        <v>12</v>
      </c>
      <c r="I91" s="58" t="s">
        <v>189</v>
      </c>
      <c r="K91" s="51"/>
      <c r="L91" s="51"/>
      <c r="M91" s="51"/>
    </row>
    <row r="92" spans="1:13">
      <c r="A92" s="52" t="s">
        <v>190</v>
      </c>
      <c r="B92" s="67" t="s">
        <v>30</v>
      </c>
      <c r="C92" s="53" t="s">
        <v>12</v>
      </c>
      <c r="D92" s="53" t="s">
        <v>63</v>
      </c>
      <c r="E92" s="54">
        <v>38830</v>
      </c>
      <c r="F92" s="55">
        <v>42631</v>
      </c>
      <c r="G92" s="56">
        <v>3</v>
      </c>
      <c r="H92" s="57" t="s">
        <v>18</v>
      </c>
      <c r="I92" s="58" t="s">
        <v>76</v>
      </c>
      <c r="K92" s="51"/>
      <c r="L92" s="51"/>
      <c r="M92" s="51"/>
    </row>
    <row r="93" spans="1:13">
      <c r="A93" s="52" t="s">
        <v>191</v>
      </c>
      <c r="B93" s="53" t="s">
        <v>12</v>
      </c>
      <c r="C93" s="53" t="s">
        <v>41</v>
      </c>
      <c r="D93" s="53" t="s">
        <v>46</v>
      </c>
      <c r="E93" s="54">
        <v>50741</v>
      </c>
      <c r="F93" s="55">
        <v>42638</v>
      </c>
      <c r="G93" s="56">
        <v>3</v>
      </c>
      <c r="H93" s="57" t="s">
        <v>12</v>
      </c>
      <c r="I93" s="58" t="s">
        <v>159</v>
      </c>
      <c r="K93" s="51"/>
      <c r="L93" s="51"/>
      <c r="M93" s="51"/>
    </row>
    <row r="94" spans="1:13">
      <c r="A94" s="52" t="s">
        <v>192</v>
      </c>
      <c r="B94" s="53" t="s">
        <v>21</v>
      </c>
      <c r="C94" s="53" t="s">
        <v>16</v>
      </c>
      <c r="D94" s="53" t="s">
        <v>63</v>
      </c>
      <c r="E94" s="54">
        <v>69420</v>
      </c>
      <c r="F94" s="55">
        <v>42645</v>
      </c>
      <c r="G94" s="56">
        <v>1</v>
      </c>
      <c r="H94" s="57" t="s">
        <v>27</v>
      </c>
      <c r="I94" s="58" t="s">
        <v>122</v>
      </c>
      <c r="K94" s="51"/>
      <c r="L94" s="51"/>
      <c r="M94" s="51"/>
    </row>
    <row r="95" spans="1:13">
      <c r="A95" s="52" t="s">
        <v>193</v>
      </c>
      <c r="B95" s="53" t="s">
        <v>30</v>
      </c>
      <c r="C95" s="53" t="s">
        <v>33</v>
      </c>
      <c r="D95" s="53" t="s">
        <v>12</v>
      </c>
      <c r="E95" s="54">
        <v>80588</v>
      </c>
      <c r="F95" s="55">
        <v>42652</v>
      </c>
      <c r="G95" s="56">
        <v>5</v>
      </c>
      <c r="H95" s="57" t="s">
        <v>27</v>
      </c>
      <c r="I95" s="58" t="s">
        <v>103</v>
      </c>
      <c r="K95" s="51"/>
      <c r="L95" s="51"/>
      <c r="M95" s="51"/>
    </row>
    <row r="96" spans="1:13">
      <c r="A96" s="52" t="s">
        <v>194</v>
      </c>
      <c r="B96" s="67" t="s">
        <v>21</v>
      </c>
      <c r="C96" s="53" t="s">
        <v>12</v>
      </c>
      <c r="D96" s="53" t="s">
        <v>26</v>
      </c>
      <c r="E96" s="54">
        <v>76238</v>
      </c>
      <c r="F96" s="55">
        <v>42659</v>
      </c>
      <c r="G96" s="56">
        <v>4</v>
      </c>
      <c r="H96" s="57" t="s">
        <v>27</v>
      </c>
      <c r="I96" s="58" t="s">
        <v>195</v>
      </c>
      <c r="K96" s="51"/>
      <c r="L96" s="51"/>
      <c r="M96" s="51"/>
    </row>
    <row r="97" spans="1:13">
      <c r="A97" s="52" t="s">
        <v>196</v>
      </c>
      <c r="B97" s="53" t="s">
        <v>53</v>
      </c>
      <c r="C97" s="53" t="s">
        <v>33</v>
      </c>
      <c r="D97" s="53" t="s">
        <v>34</v>
      </c>
      <c r="E97" s="54">
        <v>33264</v>
      </c>
      <c r="F97" s="55">
        <v>42666</v>
      </c>
      <c r="G97" s="56">
        <v>2.8666666666666667</v>
      </c>
      <c r="H97" s="57" t="s">
        <v>35</v>
      </c>
      <c r="I97" s="58" t="s">
        <v>197</v>
      </c>
      <c r="K97" s="51"/>
      <c r="L97" s="51"/>
      <c r="M97" s="51"/>
    </row>
    <row r="98" spans="1:13">
      <c r="A98" s="52" t="s">
        <v>198</v>
      </c>
      <c r="B98" s="53" t="s">
        <v>21</v>
      </c>
      <c r="C98" s="53" t="s">
        <v>10</v>
      </c>
      <c r="D98" s="53" t="s">
        <v>63</v>
      </c>
      <c r="E98" s="54">
        <v>96101</v>
      </c>
      <c r="F98" s="55">
        <v>42673</v>
      </c>
      <c r="G98" s="56">
        <v>2.8666666666666667</v>
      </c>
      <c r="H98" s="57" t="s">
        <v>18</v>
      </c>
      <c r="I98" s="58" t="s">
        <v>199</v>
      </c>
      <c r="K98" s="51"/>
      <c r="L98" s="51"/>
      <c r="M98" s="51"/>
    </row>
    <row r="99" spans="1:13">
      <c r="A99" s="52" t="s">
        <v>200</v>
      </c>
      <c r="B99" s="53" t="s">
        <v>30</v>
      </c>
      <c r="C99" s="53" t="s">
        <v>10</v>
      </c>
      <c r="D99" s="53" t="s">
        <v>26</v>
      </c>
      <c r="E99" s="54">
        <v>72939</v>
      </c>
      <c r="F99" s="55">
        <v>42680</v>
      </c>
      <c r="G99" s="56">
        <v>3</v>
      </c>
      <c r="H99" s="57" t="s">
        <v>12</v>
      </c>
      <c r="I99" s="58" t="s">
        <v>201</v>
      </c>
      <c r="K99" s="51"/>
      <c r="L99" s="51"/>
      <c r="M99" s="51"/>
    </row>
    <row r="100" spans="1:13">
      <c r="A100" s="52" t="s">
        <v>202</v>
      </c>
      <c r="B100" s="53" t="s">
        <v>38</v>
      </c>
      <c r="C100" s="53" t="s">
        <v>16</v>
      </c>
      <c r="D100" s="53" t="s">
        <v>17</v>
      </c>
      <c r="E100" s="54">
        <v>89333</v>
      </c>
      <c r="F100" s="55">
        <v>42687</v>
      </c>
      <c r="G100" s="56">
        <v>1</v>
      </c>
      <c r="H100" s="57" t="s">
        <v>27</v>
      </c>
      <c r="I100" s="58" t="s">
        <v>203</v>
      </c>
      <c r="K100" s="51"/>
      <c r="L100" s="51"/>
      <c r="M100" s="51"/>
    </row>
    <row r="101" spans="1:13">
      <c r="A101" s="52" t="s">
        <v>204</v>
      </c>
      <c r="B101" s="53" t="s">
        <v>53</v>
      </c>
      <c r="C101" s="53" t="s">
        <v>33</v>
      </c>
      <c r="D101" s="53" t="s">
        <v>63</v>
      </c>
      <c r="E101" s="54">
        <v>70470</v>
      </c>
      <c r="F101" s="55">
        <v>42694</v>
      </c>
      <c r="G101" s="56">
        <v>2.9069767441860463</v>
      </c>
      <c r="H101" s="57" t="s">
        <v>27</v>
      </c>
      <c r="I101" s="58" t="s">
        <v>205</v>
      </c>
      <c r="K101" s="51"/>
      <c r="L101" s="51"/>
      <c r="M101" s="51"/>
    </row>
    <row r="102" spans="1:13">
      <c r="A102" s="52" t="s">
        <v>206</v>
      </c>
      <c r="B102" s="53" t="s">
        <v>15</v>
      </c>
      <c r="C102" s="53" t="s">
        <v>41</v>
      </c>
      <c r="D102" s="53" t="s">
        <v>26</v>
      </c>
      <c r="E102" s="54">
        <v>70096</v>
      </c>
      <c r="F102" s="55">
        <v>42701</v>
      </c>
      <c r="G102" s="56">
        <v>4</v>
      </c>
      <c r="H102" s="57" t="s">
        <v>27</v>
      </c>
      <c r="I102" s="58" t="s">
        <v>207</v>
      </c>
      <c r="K102" s="51"/>
      <c r="L102" s="51"/>
      <c r="M102" s="51"/>
    </row>
    <row r="103" spans="1:13">
      <c r="A103" s="52" t="s">
        <v>208</v>
      </c>
      <c r="B103" s="53" t="s">
        <v>53</v>
      </c>
      <c r="C103" s="53" t="s">
        <v>41</v>
      </c>
      <c r="D103" s="53" t="s">
        <v>12</v>
      </c>
      <c r="E103" s="54">
        <v>63370.106382978724</v>
      </c>
      <c r="F103" s="55">
        <v>42708</v>
      </c>
      <c r="G103" s="56">
        <v>2</v>
      </c>
      <c r="H103" s="57" t="s">
        <v>18</v>
      </c>
      <c r="I103" s="58" t="s">
        <v>209</v>
      </c>
      <c r="K103" s="51"/>
      <c r="L103" s="51"/>
      <c r="M103" s="51"/>
    </row>
    <row r="104" spans="1:13">
      <c r="A104" s="52" t="s">
        <v>210</v>
      </c>
      <c r="B104" s="53" t="s">
        <v>53</v>
      </c>
      <c r="C104" s="53" t="s">
        <v>33</v>
      </c>
      <c r="D104" s="53" t="s">
        <v>17</v>
      </c>
      <c r="E104" s="54">
        <v>66503</v>
      </c>
      <c r="F104" s="55">
        <v>42715</v>
      </c>
      <c r="G104" s="56">
        <v>2.9024390243902438</v>
      </c>
      <c r="H104" s="57" t="s">
        <v>27</v>
      </c>
      <c r="I104" s="58" t="s">
        <v>70</v>
      </c>
      <c r="K104" s="51"/>
      <c r="L104" s="51"/>
      <c r="M104" s="51"/>
    </row>
    <row r="105" spans="1:13">
      <c r="A105" s="52" t="s">
        <v>211</v>
      </c>
      <c r="B105" s="53" t="s">
        <v>21</v>
      </c>
      <c r="C105" s="53" t="s">
        <v>16</v>
      </c>
      <c r="D105" s="53" t="s">
        <v>17</v>
      </c>
      <c r="E105" s="54">
        <v>42096</v>
      </c>
      <c r="F105" s="55">
        <v>42722</v>
      </c>
      <c r="G105" s="56">
        <v>2.9024390243902438</v>
      </c>
      <c r="H105" s="57" t="s">
        <v>35</v>
      </c>
      <c r="I105" s="58" t="s">
        <v>212</v>
      </c>
      <c r="K105" s="51"/>
      <c r="L105" s="51"/>
      <c r="M105" s="51"/>
    </row>
    <row r="106" spans="1:13">
      <c r="A106" s="52" t="s">
        <v>213</v>
      </c>
      <c r="B106" s="53" t="s">
        <v>21</v>
      </c>
      <c r="C106" s="67" t="s">
        <v>41</v>
      </c>
      <c r="D106" s="53" t="s">
        <v>12</v>
      </c>
      <c r="E106" s="54">
        <v>79145</v>
      </c>
      <c r="F106" s="55">
        <v>42729</v>
      </c>
      <c r="G106" s="56">
        <v>5</v>
      </c>
      <c r="H106" s="57" t="s">
        <v>18</v>
      </c>
      <c r="I106" s="58" t="s">
        <v>117</v>
      </c>
      <c r="K106" s="51"/>
      <c r="L106" s="51"/>
      <c r="M106" s="51"/>
    </row>
    <row r="107" spans="1:13">
      <c r="A107" s="52" t="s">
        <v>214</v>
      </c>
      <c r="B107" s="67" t="s">
        <v>30</v>
      </c>
      <c r="C107" s="53" t="s">
        <v>12</v>
      </c>
      <c r="D107" s="53" t="s">
        <v>63</v>
      </c>
      <c r="E107" s="54">
        <v>61556</v>
      </c>
      <c r="F107" s="55">
        <v>42736</v>
      </c>
      <c r="G107" s="56">
        <v>1</v>
      </c>
      <c r="H107" s="57" t="s">
        <v>12</v>
      </c>
      <c r="I107" s="58" t="s">
        <v>209</v>
      </c>
      <c r="K107" s="51"/>
      <c r="L107" s="51"/>
      <c r="M107" s="51"/>
    </row>
    <row r="108" spans="1:13">
      <c r="A108" s="52" t="s">
        <v>215</v>
      </c>
      <c r="B108" s="53" t="s">
        <v>12</v>
      </c>
      <c r="C108" s="53" t="s">
        <v>16</v>
      </c>
      <c r="D108" s="53" t="s">
        <v>46</v>
      </c>
      <c r="E108" s="54">
        <v>87963</v>
      </c>
      <c r="F108" s="55">
        <v>42743</v>
      </c>
      <c r="G108" s="56">
        <v>3</v>
      </c>
      <c r="H108" s="57" t="s">
        <v>18</v>
      </c>
      <c r="I108" s="58" t="s">
        <v>12</v>
      </c>
      <c r="K108" s="51"/>
      <c r="L108" s="51"/>
      <c r="M108" s="51"/>
    </row>
    <row r="109" spans="1:13">
      <c r="A109" s="52" t="s">
        <v>216</v>
      </c>
      <c r="B109" s="53" t="s">
        <v>15</v>
      </c>
      <c r="C109" s="53" t="s">
        <v>33</v>
      </c>
      <c r="D109" s="53" t="s">
        <v>12</v>
      </c>
      <c r="E109" s="54">
        <v>48325</v>
      </c>
      <c r="F109" s="55">
        <v>42750</v>
      </c>
      <c r="G109" s="56">
        <v>2.8947368421052633</v>
      </c>
      <c r="H109" s="57" t="s">
        <v>27</v>
      </c>
      <c r="I109" s="58" t="s">
        <v>217</v>
      </c>
      <c r="K109" s="51"/>
      <c r="L109" s="51"/>
      <c r="M109" s="51"/>
    </row>
    <row r="110" spans="1:13">
      <c r="A110" s="52" t="s">
        <v>218</v>
      </c>
      <c r="B110" s="53" t="s">
        <v>38</v>
      </c>
      <c r="C110" s="53" t="s">
        <v>41</v>
      </c>
      <c r="D110" s="53" t="s">
        <v>63</v>
      </c>
      <c r="E110" s="54">
        <v>86412</v>
      </c>
      <c r="F110" s="55">
        <v>42757</v>
      </c>
      <c r="G110" s="56">
        <v>2</v>
      </c>
      <c r="H110" s="57" t="s">
        <v>35</v>
      </c>
      <c r="I110" s="58" t="s">
        <v>74</v>
      </c>
      <c r="K110" s="51"/>
      <c r="L110" s="51"/>
      <c r="M110" s="51"/>
    </row>
    <row r="111" spans="1:13">
      <c r="A111" s="52" t="s">
        <v>219</v>
      </c>
      <c r="B111" s="53" t="s">
        <v>38</v>
      </c>
      <c r="C111" s="53" t="s">
        <v>16</v>
      </c>
      <c r="D111" s="53" t="s">
        <v>12</v>
      </c>
      <c r="E111" s="54">
        <v>66761</v>
      </c>
      <c r="F111" s="55">
        <v>42764</v>
      </c>
      <c r="G111" s="56">
        <v>1</v>
      </c>
      <c r="H111" s="57" t="s">
        <v>12</v>
      </c>
      <c r="I111" s="58" t="s">
        <v>220</v>
      </c>
      <c r="K111" s="51"/>
      <c r="L111" s="51"/>
      <c r="M111" s="51"/>
    </row>
    <row r="112" spans="1:13">
      <c r="A112" s="52" t="s">
        <v>221</v>
      </c>
      <c r="B112" s="67" t="s">
        <v>30</v>
      </c>
      <c r="C112" s="53" t="s">
        <v>12</v>
      </c>
      <c r="D112" s="53" t="s">
        <v>34</v>
      </c>
      <c r="E112" s="54">
        <v>88850</v>
      </c>
      <c r="F112" s="55">
        <v>42771</v>
      </c>
      <c r="G112" s="56">
        <v>1</v>
      </c>
      <c r="H112" s="57" t="s">
        <v>35</v>
      </c>
      <c r="I112" s="58" t="s">
        <v>222</v>
      </c>
      <c r="K112" s="51"/>
      <c r="L112" s="51"/>
      <c r="M112" s="51"/>
    </row>
    <row r="113" spans="1:13">
      <c r="A113" s="52" t="s">
        <v>223</v>
      </c>
      <c r="B113" s="53" t="s">
        <v>40</v>
      </c>
      <c r="C113" s="53" t="s">
        <v>25</v>
      </c>
      <c r="D113" s="53" t="s">
        <v>34</v>
      </c>
      <c r="E113" s="54">
        <v>31293</v>
      </c>
      <c r="F113" s="55" t="s">
        <v>12</v>
      </c>
      <c r="G113" s="56">
        <v>2</v>
      </c>
      <c r="H113" s="57" t="s">
        <v>35</v>
      </c>
      <c r="I113" s="58" t="s">
        <v>224</v>
      </c>
      <c r="K113" s="51"/>
      <c r="L113" s="51"/>
      <c r="M113" s="51"/>
    </row>
    <row r="114" spans="1:13">
      <c r="A114" s="52" t="s">
        <v>225</v>
      </c>
      <c r="B114" s="53" t="s">
        <v>40</v>
      </c>
      <c r="C114" s="53" t="s">
        <v>33</v>
      </c>
      <c r="D114" s="53" t="s">
        <v>26</v>
      </c>
      <c r="E114" s="54">
        <v>34306</v>
      </c>
      <c r="F114" s="55">
        <v>42785</v>
      </c>
      <c r="G114" s="56">
        <v>5</v>
      </c>
      <c r="H114" s="57" t="s">
        <v>35</v>
      </c>
      <c r="I114" s="58" t="s">
        <v>156</v>
      </c>
      <c r="K114" s="51"/>
      <c r="L114" s="51"/>
      <c r="M114" s="51"/>
    </row>
    <row r="115" spans="1:13">
      <c r="A115" s="52" t="s">
        <v>226</v>
      </c>
      <c r="B115" s="53" t="s">
        <v>15</v>
      </c>
      <c r="C115" s="53" t="s">
        <v>10</v>
      </c>
      <c r="D115" s="53" t="s">
        <v>34</v>
      </c>
      <c r="E115" s="54">
        <v>78330</v>
      </c>
      <c r="F115" s="55">
        <v>42792</v>
      </c>
      <c r="G115" s="56">
        <v>3</v>
      </c>
      <c r="H115" s="57" t="s">
        <v>18</v>
      </c>
      <c r="I115" s="58" t="s">
        <v>207</v>
      </c>
      <c r="K115" s="51"/>
      <c r="L115" s="51"/>
      <c r="M115" s="51"/>
    </row>
    <row r="116" spans="1:13">
      <c r="A116" s="52" t="s">
        <v>227</v>
      </c>
      <c r="B116" s="53" t="s">
        <v>21</v>
      </c>
      <c r="C116" s="53" t="s">
        <v>33</v>
      </c>
      <c r="D116" s="53" t="s">
        <v>26</v>
      </c>
      <c r="E116" s="54">
        <v>47653</v>
      </c>
      <c r="F116" s="55">
        <v>42799</v>
      </c>
      <c r="G116" s="56">
        <v>1</v>
      </c>
      <c r="H116" s="57" t="s">
        <v>27</v>
      </c>
      <c r="I116" s="58" t="s">
        <v>228</v>
      </c>
      <c r="K116" s="51"/>
      <c r="L116" s="51"/>
      <c r="M116" s="51"/>
    </row>
    <row r="117" spans="1:13">
      <c r="A117" s="52" t="s">
        <v>229</v>
      </c>
      <c r="B117" s="53" t="s">
        <v>15</v>
      </c>
      <c r="C117" s="53" t="s">
        <v>41</v>
      </c>
      <c r="D117" s="53" t="s">
        <v>46</v>
      </c>
      <c r="E117" s="54">
        <v>44627</v>
      </c>
      <c r="F117" s="55">
        <v>42806</v>
      </c>
      <c r="G117" s="56">
        <v>4</v>
      </c>
      <c r="H117" s="57" t="s">
        <v>12</v>
      </c>
      <c r="I117" s="58" t="s">
        <v>148</v>
      </c>
      <c r="K117" s="51"/>
      <c r="L117" s="51"/>
      <c r="M117" s="51"/>
    </row>
    <row r="118" spans="1:13">
      <c r="A118" s="52" t="s">
        <v>230</v>
      </c>
      <c r="B118" s="53" t="s">
        <v>53</v>
      </c>
      <c r="C118" s="53" t="s">
        <v>16</v>
      </c>
      <c r="D118" s="53" t="s">
        <v>17</v>
      </c>
      <c r="E118" s="54">
        <v>92343</v>
      </c>
      <c r="F118" s="55">
        <v>42813</v>
      </c>
      <c r="G118" s="56">
        <v>4</v>
      </c>
      <c r="H118" s="57" t="s">
        <v>35</v>
      </c>
      <c r="I118" s="58" t="s">
        <v>76</v>
      </c>
      <c r="K118" s="51"/>
      <c r="L118" s="51"/>
      <c r="M118" s="51"/>
    </row>
    <row r="119" spans="1:13">
      <c r="A119" s="52" t="s">
        <v>231</v>
      </c>
      <c r="B119" s="53" t="s">
        <v>53</v>
      </c>
      <c r="C119" s="53" t="s">
        <v>41</v>
      </c>
      <c r="D119" s="53" t="s">
        <v>63</v>
      </c>
      <c r="E119" s="54">
        <v>38837</v>
      </c>
      <c r="F119" s="55">
        <v>42820</v>
      </c>
      <c r="G119" s="56">
        <v>5</v>
      </c>
      <c r="H119" s="57" t="s">
        <v>35</v>
      </c>
      <c r="I119" s="58" t="s">
        <v>156</v>
      </c>
      <c r="K119" s="51"/>
      <c r="L119" s="51"/>
      <c r="M119" s="51"/>
    </row>
    <row r="120" spans="1:13">
      <c r="A120" s="52" t="s">
        <v>232</v>
      </c>
      <c r="B120" s="53" t="s">
        <v>53</v>
      </c>
      <c r="C120" s="67" t="s">
        <v>41</v>
      </c>
      <c r="D120" s="53" t="s">
        <v>12</v>
      </c>
      <c r="E120" s="54">
        <v>73483</v>
      </c>
      <c r="F120" s="55">
        <v>42827</v>
      </c>
      <c r="G120" s="56">
        <v>1</v>
      </c>
      <c r="H120" s="57" t="s">
        <v>12</v>
      </c>
      <c r="I120" s="58" t="s">
        <v>233</v>
      </c>
      <c r="K120" s="51"/>
      <c r="L120" s="51"/>
      <c r="M120" s="51"/>
    </row>
    <row r="121" spans="1:13">
      <c r="A121" s="52" t="s">
        <v>234</v>
      </c>
      <c r="B121" s="53" t="s">
        <v>40</v>
      </c>
      <c r="C121" s="53" t="s">
        <v>25</v>
      </c>
      <c r="D121" s="53" t="s">
        <v>34</v>
      </c>
      <c r="E121" s="54">
        <v>95032</v>
      </c>
      <c r="F121" s="55">
        <v>42834</v>
      </c>
      <c r="G121" s="56">
        <v>3</v>
      </c>
      <c r="H121" s="57" t="s">
        <v>12</v>
      </c>
      <c r="I121" s="58" t="s">
        <v>235</v>
      </c>
      <c r="K121" s="51"/>
      <c r="L121" s="51"/>
      <c r="M121" s="51"/>
    </row>
    <row r="122" spans="1:13">
      <c r="A122" s="52" t="s">
        <v>236</v>
      </c>
      <c r="B122" s="53" t="s">
        <v>15</v>
      </c>
      <c r="C122" s="53" t="s">
        <v>25</v>
      </c>
      <c r="D122" s="53" t="s">
        <v>63</v>
      </c>
      <c r="E122" s="54">
        <v>44358</v>
      </c>
      <c r="F122" s="55">
        <v>42841</v>
      </c>
      <c r="G122" s="56">
        <v>3</v>
      </c>
      <c r="H122" s="57" t="s">
        <v>35</v>
      </c>
      <c r="I122" s="58" t="s">
        <v>70</v>
      </c>
      <c r="K122" s="51"/>
      <c r="L122" s="51"/>
      <c r="M122" s="51"/>
    </row>
    <row r="123" spans="1:13">
      <c r="A123" s="52" t="s">
        <v>237</v>
      </c>
      <c r="B123" s="53" t="s">
        <v>12</v>
      </c>
      <c r="C123" s="53" t="s">
        <v>33</v>
      </c>
      <c r="D123" s="53" t="s">
        <v>26</v>
      </c>
      <c r="E123" s="54">
        <v>63232.928571428572</v>
      </c>
      <c r="F123" s="55" t="s">
        <v>12</v>
      </c>
      <c r="G123" s="56">
        <v>5</v>
      </c>
      <c r="H123" s="57" t="s">
        <v>12</v>
      </c>
      <c r="I123" s="58" t="s">
        <v>238</v>
      </c>
      <c r="K123" s="51"/>
      <c r="L123" s="51"/>
      <c r="M123" s="51"/>
    </row>
    <row r="124" spans="1:13">
      <c r="A124" s="52" t="s">
        <v>239</v>
      </c>
      <c r="B124" s="53" t="s">
        <v>40</v>
      </c>
      <c r="C124" s="53" t="s">
        <v>25</v>
      </c>
      <c r="D124" s="53" t="s">
        <v>26</v>
      </c>
      <c r="E124" s="54">
        <v>45676</v>
      </c>
      <c r="F124" s="55">
        <v>42855</v>
      </c>
      <c r="G124" s="56">
        <v>2</v>
      </c>
      <c r="H124" s="57" t="s">
        <v>12</v>
      </c>
      <c r="I124" s="58" t="s">
        <v>240</v>
      </c>
      <c r="K124" s="51"/>
      <c r="L124" s="51"/>
      <c r="M124" s="51"/>
    </row>
    <row r="125" spans="1:13">
      <c r="A125" s="52" t="s">
        <v>241</v>
      </c>
      <c r="B125" s="53" t="s">
        <v>53</v>
      </c>
      <c r="C125" s="53" t="s">
        <v>25</v>
      </c>
      <c r="D125" s="53" t="s">
        <v>17</v>
      </c>
      <c r="E125" s="54">
        <v>52036</v>
      </c>
      <c r="F125" s="55">
        <v>42862</v>
      </c>
      <c r="G125" s="56">
        <v>3</v>
      </c>
      <c r="H125" s="57" t="s">
        <v>27</v>
      </c>
      <c r="I125" s="58" t="s">
        <v>242</v>
      </c>
      <c r="K125" s="51"/>
      <c r="L125" s="51"/>
      <c r="M125" s="51"/>
    </row>
    <row r="126" spans="1:13">
      <c r="A126" s="52" t="s">
        <v>243</v>
      </c>
      <c r="B126" s="67" t="s">
        <v>30</v>
      </c>
      <c r="C126" s="53" t="s">
        <v>12</v>
      </c>
      <c r="D126" s="53" t="s">
        <v>17</v>
      </c>
      <c r="E126" s="54">
        <v>30357</v>
      </c>
      <c r="F126" s="55">
        <v>42869</v>
      </c>
      <c r="G126" s="56">
        <v>5</v>
      </c>
      <c r="H126" s="57" t="s">
        <v>27</v>
      </c>
      <c r="I126" s="58" t="s">
        <v>181</v>
      </c>
      <c r="K126" s="51"/>
      <c r="L126" s="51"/>
      <c r="M126" s="51"/>
    </row>
    <row r="127" spans="1:13">
      <c r="A127" s="52" t="s">
        <v>244</v>
      </c>
      <c r="B127" s="53" t="s">
        <v>24</v>
      </c>
      <c r="C127" s="53" t="s">
        <v>33</v>
      </c>
      <c r="D127" s="53" t="s">
        <v>12</v>
      </c>
      <c r="E127" s="54">
        <v>60034</v>
      </c>
      <c r="F127" s="55">
        <v>42876</v>
      </c>
      <c r="G127" s="56">
        <v>1</v>
      </c>
      <c r="H127" s="57" t="s">
        <v>35</v>
      </c>
      <c r="I127" s="58" t="s">
        <v>245</v>
      </c>
      <c r="K127" s="51"/>
      <c r="L127" s="51"/>
      <c r="M127" s="51"/>
    </row>
    <row r="128" spans="1:13">
      <c r="A128" s="52" t="s">
        <v>246</v>
      </c>
      <c r="B128" s="53" t="s">
        <v>24</v>
      </c>
      <c r="C128" s="53" t="s">
        <v>10</v>
      </c>
      <c r="D128" s="53" t="s">
        <v>12</v>
      </c>
      <c r="E128" s="54">
        <v>90019</v>
      </c>
      <c r="F128" s="55">
        <v>42883</v>
      </c>
      <c r="G128" s="56">
        <v>5</v>
      </c>
      <c r="H128" s="57" t="s">
        <v>12</v>
      </c>
      <c r="I128" s="58" t="s">
        <v>247</v>
      </c>
      <c r="K128" s="51"/>
      <c r="L128" s="51"/>
      <c r="M128" s="51"/>
    </row>
    <row r="129" spans="1:13">
      <c r="A129" s="52" t="s">
        <v>248</v>
      </c>
      <c r="B129" s="67" t="s">
        <v>53</v>
      </c>
      <c r="C129" s="53" t="s">
        <v>12</v>
      </c>
      <c r="D129" s="53" t="s">
        <v>17</v>
      </c>
      <c r="E129" s="54">
        <v>71494</v>
      </c>
      <c r="F129" s="55">
        <v>42890</v>
      </c>
      <c r="G129" s="56">
        <v>3</v>
      </c>
      <c r="H129" s="57" t="s">
        <v>27</v>
      </c>
      <c r="I129" s="58" t="s">
        <v>249</v>
      </c>
      <c r="K129" s="51"/>
      <c r="L129" s="51"/>
      <c r="M129" s="51"/>
    </row>
    <row r="130" spans="1:13">
      <c r="A130" s="52" t="s">
        <v>250</v>
      </c>
      <c r="B130" s="53" t="s">
        <v>24</v>
      </c>
      <c r="C130" s="53" t="s">
        <v>10</v>
      </c>
      <c r="D130" s="53" t="s">
        <v>26</v>
      </c>
      <c r="E130" s="54">
        <v>91953</v>
      </c>
      <c r="F130" s="55">
        <v>42897</v>
      </c>
      <c r="G130" s="56">
        <v>2</v>
      </c>
      <c r="H130" s="57" t="s">
        <v>27</v>
      </c>
      <c r="I130" s="58" t="s">
        <v>88</v>
      </c>
      <c r="K130" s="51"/>
      <c r="L130" s="51"/>
      <c r="M130" s="51"/>
    </row>
    <row r="131" spans="1:13">
      <c r="A131" s="52" t="s">
        <v>251</v>
      </c>
      <c r="B131" s="53" t="s">
        <v>40</v>
      </c>
      <c r="C131" s="53" t="s">
        <v>25</v>
      </c>
      <c r="D131" s="53" t="s">
        <v>26</v>
      </c>
      <c r="E131" s="54">
        <v>30402</v>
      </c>
      <c r="F131" s="55">
        <v>42904</v>
      </c>
      <c r="G131" s="56">
        <v>1</v>
      </c>
      <c r="H131" s="57" t="s">
        <v>12</v>
      </c>
      <c r="I131" s="58" t="s">
        <v>252</v>
      </c>
      <c r="K131" s="51"/>
      <c r="L131" s="51"/>
      <c r="M131" s="51"/>
    </row>
    <row r="132" spans="1:13">
      <c r="A132" s="52" t="s">
        <v>253</v>
      </c>
      <c r="B132" s="67" t="s">
        <v>53</v>
      </c>
      <c r="C132" s="53" t="s">
        <v>12</v>
      </c>
      <c r="D132" s="53" t="s">
        <v>46</v>
      </c>
      <c r="E132" s="54">
        <v>62994</v>
      </c>
      <c r="F132" s="55">
        <v>42911</v>
      </c>
      <c r="G132" s="56">
        <v>3</v>
      </c>
      <c r="H132" s="57" t="s">
        <v>12</v>
      </c>
      <c r="I132" s="58" t="s">
        <v>113</v>
      </c>
      <c r="K132" s="51"/>
      <c r="L132" s="51"/>
      <c r="M132" s="51"/>
    </row>
    <row r="133" spans="1:13">
      <c r="A133" s="52" t="s">
        <v>254</v>
      </c>
      <c r="B133" s="53" t="s">
        <v>21</v>
      </c>
      <c r="C133" s="53" t="s">
        <v>25</v>
      </c>
      <c r="D133" s="53" t="s">
        <v>34</v>
      </c>
      <c r="E133" s="54">
        <v>48289</v>
      </c>
      <c r="F133" s="55" t="s">
        <v>12</v>
      </c>
      <c r="G133" s="56">
        <v>3</v>
      </c>
      <c r="H133" s="57" t="s">
        <v>27</v>
      </c>
      <c r="I133" s="58" t="s">
        <v>44</v>
      </c>
      <c r="K133" s="51"/>
      <c r="L133" s="51"/>
      <c r="M133" s="51"/>
    </row>
    <row r="134" spans="1:13">
      <c r="A134" s="52" t="s">
        <v>255</v>
      </c>
      <c r="B134" s="53" t="s">
        <v>38</v>
      </c>
      <c r="C134" s="53" t="s">
        <v>41</v>
      </c>
      <c r="D134" s="53" t="s">
        <v>17</v>
      </c>
      <c r="E134" s="54">
        <v>34402</v>
      </c>
      <c r="F134" s="55">
        <v>42925</v>
      </c>
      <c r="G134" s="56">
        <v>3</v>
      </c>
      <c r="H134" s="57" t="s">
        <v>18</v>
      </c>
      <c r="I134" s="58" t="s">
        <v>107</v>
      </c>
      <c r="K134" s="51"/>
      <c r="L134" s="51"/>
      <c r="M134" s="51"/>
    </row>
    <row r="135" spans="1:13">
      <c r="A135" s="52" t="s">
        <v>256</v>
      </c>
      <c r="B135" s="53" t="s">
        <v>15</v>
      </c>
      <c r="C135" s="53" t="s">
        <v>16</v>
      </c>
      <c r="D135" s="53" t="s">
        <v>26</v>
      </c>
      <c r="E135" s="54">
        <v>38678</v>
      </c>
      <c r="F135" s="55">
        <v>42932</v>
      </c>
      <c r="G135" s="56">
        <v>3</v>
      </c>
      <c r="H135" s="57" t="s">
        <v>18</v>
      </c>
      <c r="I135" s="58" t="s">
        <v>257</v>
      </c>
      <c r="K135" s="51"/>
      <c r="L135" s="51"/>
      <c r="M135" s="51"/>
    </row>
    <row r="136" spans="1:13">
      <c r="A136" s="52" t="s">
        <v>258</v>
      </c>
      <c r="B136" s="53" t="s">
        <v>40</v>
      </c>
      <c r="C136" s="53" t="s">
        <v>16</v>
      </c>
      <c r="D136" s="53" t="s">
        <v>17</v>
      </c>
      <c r="E136" s="54">
        <v>45758</v>
      </c>
      <c r="F136" s="55">
        <v>42939</v>
      </c>
      <c r="G136" s="56">
        <v>3</v>
      </c>
      <c r="H136" s="57" t="s">
        <v>12</v>
      </c>
      <c r="I136" s="58" t="s">
        <v>224</v>
      </c>
      <c r="K136" s="51"/>
      <c r="L136" s="51"/>
      <c r="M136" s="51"/>
    </row>
    <row r="137" spans="1:13">
      <c r="A137" s="52" t="s">
        <v>259</v>
      </c>
      <c r="B137" s="53" t="s">
        <v>15</v>
      </c>
      <c r="C137" s="53" t="s">
        <v>41</v>
      </c>
      <c r="D137" s="53" t="s">
        <v>34</v>
      </c>
      <c r="E137" s="54">
        <v>62476</v>
      </c>
      <c r="F137" s="55">
        <v>42946</v>
      </c>
      <c r="G137" s="56">
        <v>1</v>
      </c>
      <c r="H137" s="57" t="s">
        <v>18</v>
      </c>
      <c r="I137" s="58" t="s">
        <v>137</v>
      </c>
      <c r="K137" s="51"/>
      <c r="L137" s="51"/>
      <c r="M137" s="51"/>
    </row>
    <row r="138" spans="1:13">
      <c r="A138" s="52" t="s">
        <v>260</v>
      </c>
      <c r="B138" s="53" t="s">
        <v>12</v>
      </c>
      <c r="C138" s="53" t="s">
        <v>33</v>
      </c>
      <c r="D138" s="53" t="s">
        <v>46</v>
      </c>
      <c r="E138" s="54">
        <v>39280</v>
      </c>
      <c r="F138" s="55">
        <v>42953</v>
      </c>
      <c r="G138" s="56">
        <v>3</v>
      </c>
      <c r="H138" s="57" t="s">
        <v>35</v>
      </c>
      <c r="I138" s="58" t="s">
        <v>98</v>
      </c>
      <c r="K138" s="51"/>
      <c r="L138" s="51"/>
      <c r="M138" s="51"/>
    </row>
    <row r="139" spans="1:13">
      <c r="A139" s="52" t="s">
        <v>261</v>
      </c>
      <c r="B139" s="53" t="s">
        <v>30</v>
      </c>
      <c r="C139" s="53" t="s">
        <v>10</v>
      </c>
      <c r="D139" s="53" t="s">
        <v>34</v>
      </c>
      <c r="E139" s="54">
        <v>60335</v>
      </c>
      <c r="F139" s="55">
        <v>42960</v>
      </c>
      <c r="G139" s="56">
        <v>4</v>
      </c>
      <c r="H139" s="57" t="s">
        <v>18</v>
      </c>
      <c r="I139" s="58" t="s">
        <v>128</v>
      </c>
      <c r="K139" s="51"/>
      <c r="L139" s="51"/>
      <c r="M139" s="51"/>
    </row>
    <row r="140" spans="1:13">
      <c r="A140" s="52" t="s">
        <v>262</v>
      </c>
      <c r="B140" s="53" t="s">
        <v>40</v>
      </c>
      <c r="C140" s="53" t="s">
        <v>16</v>
      </c>
      <c r="D140" s="53" t="s">
        <v>17</v>
      </c>
      <c r="E140" s="54">
        <v>84968</v>
      </c>
      <c r="F140" s="55">
        <v>42967</v>
      </c>
      <c r="G140" s="56">
        <v>3.0909090909090908</v>
      </c>
      <c r="H140" s="57" t="s">
        <v>12</v>
      </c>
      <c r="I140" s="58" t="s">
        <v>263</v>
      </c>
      <c r="K140" s="51"/>
      <c r="L140" s="51"/>
      <c r="M140" s="51"/>
    </row>
    <row r="141" spans="1:13">
      <c r="A141" s="52" t="s">
        <v>264</v>
      </c>
      <c r="B141" s="53" t="s">
        <v>40</v>
      </c>
      <c r="C141" s="53" t="s">
        <v>41</v>
      </c>
      <c r="D141" s="53" t="s">
        <v>63</v>
      </c>
      <c r="E141" s="54">
        <v>84750</v>
      </c>
      <c r="F141" s="55">
        <v>42974</v>
      </c>
      <c r="G141" s="56">
        <v>4</v>
      </c>
      <c r="H141" s="57" t="s">
        <v>35</v>
      </c>
      <c r="I141" s="58" t="s">
        <v>59</v>
      </c>
      <c r="K141" s="51"/>
      <c r="L141" s="51"/>
      <c r="M141" s="51"/>
    </row>
    <row r="142" spans="1:13">
      <c r="A142" s="52" t="s">
        <v>265</v>
      </c>
      <c r="B142" s="53" t="s">
        <v>53</v>
      </c>
      <c r="C142" s="53" t="s">
        <v>33</v>
      </c>
      <c r="D142" s="53" t="s">
        <v>12</v>
      </c>
      <c r="E142" s="54">
        <v>73348</v>
      </c>
      <c r="F142" s="55">
        <v>42981</v>
      </c>
      <c r="G142" s="56">
        <v>2</v>
      </c>
      <c r="H142" s="57" t="s">
        <v>12</v>
      </c>
      <c r="I142" s="58" t="s">
        <v>170</v>
      </c>
      <c r="K142" s="51"/>
      <c r="L142" s="51"/>
      <c r="M142" s="51"/>
    </row>
    <row r="143" spans="1:13">
      <c r="A143" s="52" t="s">
        <v>266</v>
      </c>
      <c r="B143" s="53" t="s">
        <v>40</v>
      </c>
      <c r="C143" s="53" t="s">
        <v>25</v>
      </c>
      <c r="D143" s="53" t="s">
        <v>26</v>
      </c>
      <c r="E143" s="54">
        <v>73697</v>
      </c>
      <c r="F143" s="55">
        <v>42988</v>
      </c>
      <c r="G143" s="56">
        <v>4</v>
      </c>
      <c r="H143" s="57" t="s">
        <v>18</v>
      </c>
      <c r="I143" s="58" t="s">
        <v>12</v>
      </c>
      <c r="K143" s="51"/>
      <c r="L143" s="51"/>
      <c r="M143" s="51"/>
    </row>
    <row r="144" spans="1:13">
      <c r="A144" s="52" t="s">
        <v>267</v>
      </c>
      <c r="B144" s="53" t="s">
        <v>30</v>
      </c>
      <c r="C144" s="53" t="s">
        <v>41</v>
      </c>
      <c r="D144" s="53" t="s">
        <v>26</v>
      </c>
      <c r="E144" s="54">
        <v>66882</v>
      </c>
      <c r="F144" s="55">
        <v>42995</v>
      </c>
      <c r="G144" s="56">
        <v>5</v>
      </c>
      <c r="H144" s="57" t="s">
        <v>18</v>
      </c>
      <c r="I144" s="58" t="s">
        <v>84</v>
      </c>
      <c r="K144" s="51"/>
      <c r="L144" s="51"/>
      <c r="M144" s="51"/>
    </row>
    <row r="145" spans="1:13">
      <c r="A145" s="52" t="s">
        <v>268</v>
      </c>
      <c r="B145" s="53" t="s">
        <v>21</v>
      </c>
      <c r="C145" s="67" t="s">
        <v>41</v>
      </c>
      <c r="D145" s="53" t="s">
        <v>12</v>
      </c>
      <c r="E145" s="54">
        <v>86775</v>
      </c>
      <c r="F145" s="55">
        <v>43002</v>
      </c>
      <c r="G145" s="56">
        <v>3</v>
      </c>
      <c r="H145" s="57" t="s">
        <v>18</v>
      </c>
      <c r="I145" s="58" t="s">
        <v>94</v>
      </c>
      <c r="K145" s="51"/>
      <c r="L145" s="51"/>
      <c r="M145" s="51"/>
    </row>
    <row r="146" spans="1:13">
      <c r="A146" s="52" t="s">
        <v>269</v>
      </c>
      <c r="B146" s="53" t="s">
        <v>40</v>
      </c>
      <c r="C146" s="53" t="s">
        <v>25</v>
      </c>
      <c r="D146" s="53" t="s">
        <v>46</v>
      </c>
      <c r="E146" s="54">
        <v>91620</v>
      </c>
      <c r="F146" s="55">
        <v>43009</v>
      </c>
      <c r="G146" s="56">
        <v>2.6666666666666665</v>
      </c>
      <c r="H146" s="57" t="s">
        <v>12</v>
      </c>
      <c r="I146" s="58" t="s">
        <v>270</v>
      </c>
      <c r="K146" s="51"/>
      <c r="L146" s="51"/>
      <c r="M146" s="51"/>
    </row>
    <row r="147" spans="1:13">
      <c r="A147" s="52" t="s">
        <v>271</v>
      </c>
      <c r="B147" s="67" t="s">
        <v>15</v>
      </c>
      <c r="C147" s="53" t="s">
        <v>12</v>
      </c>
      <c r="D147" s="53" t="s">
        <v>12</v>
      </c>
      <c r="E147" s="54">
        <v>94148</v>
      </c>
      <c r="F147" s="55">
        <v>43016</v>
      </c>
      <c r="G147" s="56">
        <v>2</v>
      </c>
      <c r="H147" s="57" t="s">
        <v>12</v>
      </c>
      <c r="I147" s="58" t="s">
        <v>272</v>
      </c>
      <c r="K147" s="51"/>
      <c r="L147" s="51"/>
      <c r="M147" s="51"/>
    </row>
    <row r="148" spans="1:13">
      <c r="A148" s="52" t="s">
        <v>273</v>
      </c>
      <c r="B148" s="53" t="s">
        <v>38</v>
      </c>
      <c r="C148" s="53" t="s">
        <v>25</v>
      </c>
      <c r="D148" s="53" t="s">
        <v>63</v>
      </c>
      <c r="E148" s="54">
        <v>35627</v>
      </c>
      <c r="F148" s="55">
        <v>43023</v>
      </c>
      <c r="G148" s="56">
        <v>5</v>
      </c>
      <c r="H148" s="57" t="s">
        <v>35</v>
      </c>
      <c r="I148" s="58" t="s">
        <v>257</v>
      </c>
      <c r="K148" s="51"/>
      <c r="L148" s="51"/>
      <c r="M148" s="51"/>
    </row>
    <row r="149" spans="1:13">
      <c r="A149" s="52" t="s">
        <v>274</v>
      </c>
      <c r="B149" s="53" t="s">
        <v>24</v>
      </c>
      <c r="C149" s="53" t="s">
        <v>41</v>
      </c>
      <c r="D149" s="53" t="s">
        <v>26</v>
      </c>
      <c r="E149" s="54">
        <v>57141</v>
      </c>
      <c r="F149" s="55">
        <v>43030</v>
      </c>
      <c r="G149" s="56">
        <v>2</v>
      </c>
      <c r="H149" s="57" t="s">
        <v>12</v>
      </c>
      <c r="I149" s="58" t="s">
        <v>263</v>
      </c>
      <c r="K149" s="51"/>
      <c r="L149" s="51"/>
      <c r="M149" s="51"/>
    </row>
    <row r="150" spans="1:13">
      <c r="A150" s="52" t="s">
        <v>275</v>
      </c>
      <c r="B150" s="53" t="s">
        <v>53</v>
      </c>
      <c r="C150" s="53" t="s">
        <v>25</v>
      </c>
      <c r="D150" s="53" t="s">
        <v>63</v>
      </c>
      <c r="E150" s="54">
        <v>65270</v>
      </c>
      <c r="F150" s="55">
        <v>43037</v>
      </c>
      <c r="G150" s="56">
        <v>1</v>
      </c>
      <c r="H150" s="57" t="s">
        <v>12</v>
      </c>
      <c r="I150" s="58" t="s">
        <v>276</v>
      </c>
      <c r="K150" s="51"/>
      <c r="L150" s="51"/>
      <c r="M150" s="51"/>
    </row>
    <row r="151" spans="1:13">
      <c r="A151" s="52" t="s">
        <v>277</v>
      </c>
      <c r="B151" s="67" t="s">
        <v>53</v>
      </c>
      <c r="C151" s="53" t="s">
        <v>12</v>
      </c>
      <c r="D151" s="53" t="s">
        <v>46</v>
      </c>
      <c r="E151" s="54">
        <v>67335</v>
      </c>
      <c r="F151" s="55">
        <v>43044</v>
      </c>
      <c r="G151" s="56">
        <v>1</v>
      </c>
      <c r="H151" s="57" t="s">
        <v>18</v>
      </c>
      <c r="I151" s="58" t="s">
        <v>143</v>
      </c>
      <c r="K151" s="51"/>
      <c r="L151" s="51"/>
      <c r="M151" s="51"/>
    </row>
    <row r="152" spans="1:13">
      <c r="A152" s="52" t="s">
        <v>278</v>
      </c>
      <c r="B152" s="53" t="s">
        <v>38</v>
      </c>
      <c r="C152" s="53" t="s">
        <v>41</v>
      </c>
      <c r="D152" s="53" t="s">
        <v>34</v>
      </c>
      <c r="E152" s="54">
        <v>98475</v>
      </c>
      <c r="F152" s="55">
        <v>43051</v>
      </c>
      <c r="G152" s="56">
        <v>5</v>
      </c>
      <c r="H152" s="57" t="s">
        <v>18</v>
      </c>
      <c r="I152" s="58" t="s">
        <v>279</v>
      </c>
      <c r="K152" s="51"/>
      <c r="L152" s="51"/>
      <c r="M152" s="51"/>
    </row>
    <row r="153" spans="1:13">
      <c r="K153" s="51"/>
      <c r="L153" s="51"/>
      <c r="M153" s="51"/>
    </row>
  </sheetData>
  <mergeCells count="1">
    <mergeCell ref="A1:N1"/>
  </mergeCells>
  <pageMargins left="0.7" right="0.7" top="0.75" bottom="0.75" header="0.3" footer="0.3"/>
  <tableParts count="2">
    <tablePart r:id="rId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CE14AD-432A-43E9-9A1D-0E737108CB68}">
  <dimension ref="A1:O153"/>
  <sheetViews>
    <sheetView topLeftCell="B1" workbookViewId="0">
      <selection activeCell="G22" sqref="G22"/>
    </sheetView>
  </sheetViews>
  <sheetFormatPr defaultRowHeight="14.4"/>
  <cols>
    <col min="1" max="1" width="13.109375" customWidth="1"/>
    <col min="2" max="2" width="13.21875" customWidth="1"/>
    <col min="3" max="3" width="13.6640625" customWidth="1"/>
    <col min="4" max="4" width="11.44140625" customWidth="1"/>
    <col min="5" max="5" width="12.6640625" customWidth="1"/>
    <col min="6" max="6" width="14.88671875" customWidth="1"/>
    <col min="7" max="7" width="10.44140625" customWidth="1"/>
    <col min="8" max="8" width="13.109375" customWidth="1"/>
    <col min="9" max="9" width="20.5546875" customWidth="1"/>
    <col min="10" max="11" width="14.21875" customWidth="1"/>
    <col min="12" max="12" width="17.44140625" customWidth="1"/>
    <col min="13" max="13" width="12.77734375" customWidth="1"/>
    <col min="14" max="14" width="18.77734375" customWidth="1"/>
  </cols>
  <sheetData>
    <row r="1" spans="1:15" s="104" customFormat="1" ht="21">
      <c r="A1" s="179" t="s">
        <v>355</v>
      </c>
      <c r="B1" s="179"/>
      <c r="C1" s="179"/>
      <c r="D1" s="179"/>
      <c r="E1" s="179"/>
      <c r="F1" s="179"/>
      <c r="G1" s="179"/>
      <c r="H1" s="179"/>
      <c r="I1" s="179"/>
      <c r="J1" s="179"/>
      <c r="K1" s="179"/>
      <c r="L1" s="179"/>
      <c r="M1" s="179"/>
      <c r="N1" s="179"/>
      <c r="O1" s="179"/>
    </row>
    <row r="2" spans="1:15" ht="26.4" customHeight="1" thickBot="1">
      <c r="A2" s="45" t="s">
        <v>0</v>
      </c>
      <c r="B2" s="46" t="s">
        <v>1</v>
      </c>
      <c r="C2" s="46" t="s">
        <v>2</v>
      </c>
      <c r="D2" s="46" t="s">
        <v>3</v>
      </c>
      <c r="E2" s="47" t="s">
        <v>4</v>
      </c>
      <c r="F2" s="48" t="s">
        <v>5</v>
      </c>
      <c r="G2" s="49" t="s">
        <v>6</v>
      </c>
      <c r="H2" s="46" t="s">
        <v>7</v>
      </c>
      <c r="I2" s="50" t="s">
        <v>8</v>
      </c>
      <c r="J2" s="78" t="s">
        <v>287</v>
      </c>
    </row>
    <row r="3" spans="1:15">
      <c r="A3" s="52" t="s">
        <v>9</v>
      </c>
      <c r="B3" s="53" t="s">
        <v>12</v>
      </c>
      <c r="C3" s="53" t="s">
        <v>10</v>
      </c>
      <c r="D3" s="53" t="s">
        <v>12</v>
      </c>
      <c r="E3" s="54">
        <v>66280.929577464791</v>
      </c>
      <c r="F3" s="55" t="s">
        <v>12</v>
      </c>
      <c r="G3" s="56">
        <v>2</v>
      </c>
      <c r="H3" s="57" t="s">
        <v>12</v>
      </c>
      <c r="I3" s="58" t="s">
        <v>12</v>
      </c>
      <c r="J3" s="72" t="str">
        <f>IF(E3&gt;80000,"High Salary", "Normal")</f>
        <v>Normal</v>
      </c>
    </row>
    <row r="4" spans="1:15">
      <c r="A4" s="52" t="s">
        <v>14</v>
      </c>
      <c r="B4" s="53" t="s">
        <v>15</v>
      </c>
      <c r="C4" s="53" t="s">
        <v>16</v>
      </c>
      <c r="D4" s="53" t="s">
        <v>17</v>
      </c>
      <c r="E4" s="54">
        <v>54255</v>
      </c>
      <c r="F4" s="55">
        <v>42015</v>
      </c>
      <c r="G4" s="56">
        <v>1</v>
      </c>
      <c r="H4" s="57" t="s">
        <v>18</v>
      </c>
      <c r="I4" s="58" t="s">
        <v>19</v>
      </c>
      <c r="J4" s="72" t="str">
        <f t="shared" ref="J4:J67" si="0">IF(E4&gt;80000,"High Salary", "Normal")</f>
        <v>Normal</v>
      </c>
      <c r="K4" s="184" t="s">
        <v>288</v>
      </c>
      <c r="L4" s="184"/>
      <c r="M4" s="184"/>
      <c r="N4" s="184"/>
    </row>
    <row r="5" spans="1:15">
      <c r="A5" s="52" t="s">
        <v>20</v>
      </c>
      <c r="B5" s="53" t="s">
        <v>21</v>
      </c>
      <c r="C5" s="53" t="s">
        <v>10</v>
      </c>
      <c r="D5" s="53" t="s">
        <v>17</v>
      </c>
      <c r="E5" s="54">
        <v>63184</v>
      </c>
      <c r="F5" s="55">
        <v>42022</v>
      </c>
      <c r="G5" s="56">
        <v>2</v>
      </c>
      <c r="H5" s="57" t="s">
        <v>12</v>
      </c>
      <c r="I5" s="58" t="s">
        <v>22</v>
      </c>
      <c r="J5" s="72" t="str">
        <f t="shared" si="0"/>
        <v>Normal</v>
      </c>
      <c r="K5" s="184"/>
      <c r="L5" s="184"/>
      <c r="M5" s="184"/>
      <c r="N5" s="184"/>
    </row>
    <row r="6" spans="1:15">
      <c r="A6" s="52" t="s">
        <v>23</v>
      </c>
      <c r="B6" s="53" t="s">
        <v>24</v>
      </c>
      <c r="C6" s="53" t="s">
        <v>25</v>
      </c>
      <c r="D6" s="53" t="s">
        <v>26</v>
      </c>
      <c r="E6" s="54">
        <v>94406</v>
      </c>
      <c r="F6" s="55">
        <v>42029</v>
      </c>
      <c r="G6" s="56">
        <v>1</v>
      </c>
      <c r="H6" s="57" t="s">
        <v>27</v>
      </c>
      <c r="I6" s="58" t="s">
        <v>28</v>
      </c>
      <c r="J6" s="72" t="str">
        <f t="shared" si="0"/>
        <v>High Salary</v>
      </c>
    </row>
    <row r="7" spans="1:15">
      <c r="A7" s="52" t="s">
        <v>29</v>
      </c>
      <c r="B7" s="53" t="s">
        <v>30</v>
      </c>
      <c r="C7" s="53" t="s">
        <v>25</v>
      </c>
      <c r="D7" s="53" t="s">
        <v>17</v>
      </c>
      <c r="E7" s="54">
        <v>64120</v>
      </c>
      <c r="F7" s="55">
        <v>42036</v>
      </c>
      <c r="G7" s="56">
        <v>1</v>
      </c>
      <c r="H7" s="57" t="s">
        <v>27</v>
      </c>
      <c r="I7" s="58" t="s">
        <v>31</v>
      </c>
      <c r="J7" s="72" t="str">
        <f t="shared" si="0"/>
        <v>Normal</v>
      </c>
      <c r="K7" s="185" t="s">
        <v>289</v>
      </c>
      <c r="L7" s="185" t="s">
        <v>290</v>
      </c>
      <c r="M7" s="186" t="s">
        <v>291</v>
      </c>
      <c r="N7" s="185" t="s">
        <v>292</v>
      </c>
    </row>
    <row r="8" spans="1:15">
      <c r="A8" s="52" t="s">
        <v>32</v>
      </c>
      <c r="B8" s="53" t="s">
        <v>21</v>
      </c>
      <c r="C8" s="53" t="s">
        <v>33</v>
      </c>
      <c r="D8" s="53" t="s">
        <v>34</v>
      </c>
      <c r="E8" s="54">
        <v>78421</v>
      </c>
      <c r="F8" s="55">
        <v>42043</v>
      </c>
      <c r="G8" s="56">
        <v>2</v>
      </c>
      <c r="H8" s="57" t="s">
        <v>35</v>
      </c>
      <c r="I8" s="58" t="s">
        <v>36</v>
      </c>
      <c r="J8" s="72" t="str">
        <f t="shared" si="0"/>
        <v>Normal</v>
      </c>
      <c r="K8" s="185"/>
      <c r="L8" s="185"/>
      <c r="M8" s="186"/>
      <c r="N8" s="185"/>
    </row>
    <row r="9" spans="1:15">
      <c r="A9" s="52" t="s">
        <v>37</v>
      </c>
      <c r="B9" s="53" t="s">
        <v>38</v>
      </c>
      <c r="C9" s="53" t="s">
        <v>25</v>
      </c>
      <c r="D9" s="53" t="s">
        <v>12</v>
      </c>
      <c r="E9" s="54">
        <v>67721</v>
      </c>
      <c r="F9" s="55">
        <v>42050</v>
      </c>
      <c r="G9" s="56">
        <v>2.9411764705882355</v>
      </c>
      <c r="H9" s="57" t="s">
        <v>27</v>
      </c>
      <c r="I9" s="58" t="s">
        <v>28</v>
      </c>
      <c r="J9" s="72" t="str">
        <f t="shared" si="0"/>
        <v>Normal</v>
      </c>
      <c r="K9" s="180" t="s">
        <v>293</v>
      </c>
      <c r="L9" s="180" t="s">
        <v>294</v>
      </c>
      <c r="M9" s="181" t="s">
        <v>295</v>
      </c>
      <c r="N9" s="181">
        <f>COUNTIF(E3:E152,"&gt;70000")</f>
        <v>64</v>
      </c>
    </row>
    <row r="10" spans="1:15">
      <c r="A10" s="52" t="s">
        <v>39</v>
      </c>
      <c r="B10" s="53" t="s">
        <v>40</v>
      </c>
      <c r="C10" s="67" t="s">
        <v>41</v>
      </c>
      <c r="D10" s="53" t="s">
        <v>12</v>
      </c>
      <c r="E10" s="54">
        <v>35364</v>
      </c>
      <c r="F10" s="55">
        <v>42057</v>
      </c>
      <c r="G10" s="56">
        <v>2</v>
      </c>
      <c r="H10" s="57" t="s">
        <v>18</v>
      </c>
      <c r="I10" s="58" t="s">
        <v>42</v>
      </c>
      <c r="J10" s="72" t="str">
        <f t="shared" si="0"/>
        <v>Normal</v>
      </c>
      <c r="K10" s="180"/>
      <c r="L10" s="180"/>
      <c r="M10" s="181"/>
      <c r="N10" s="181"/>
    </row>
    <row r="11" spans="1:15">
      <c r="A11" s="52" t="s">
        <v>43</v>
      </c>
      <c r="B11" s="53" t="s">
        <v>21</v>
      </c>
      <c r="C11" s="53" t="s">
        <v>33</v>
      </c>
      <c r="D11" s="53" t="s">
        <v>17</v>
      </c>
      <c r="E11" s="54">
        <v>97881</v>
      </c>
      <c r="F11" s="55">
        <v>42064</v>
      </c>
      <c r="G11" s="56">
        <v>2.9491525423728815</v>
      </c>
      <c r="H11" s="57" t="s">
        <v>35</v>
      </c>
      <c r="I11" s="58" t="s">
        <v>44</v>
      </c>
      <c r="J11" s="72" t="str">
        <f t="shared" si="0"/>
        <v>High Salary</v>
      </c>
      <c r="K11" s="180" t="s">
        <v>296</v>
      </c>
      <c r="L11" s="180" t="s">
        <v>297</v>
      </c>
      <c r="M11" s="181" t="s">
        <v>298</v>
      </c>
      <c r="N11" s="182">
        <f>SUMIF(C3:C152, "Finance",(E3:E152))</f>
        <v>1442640.5641928494</v>
      </c>
    </row>
    <row r="12" spans="1:15">
      <c r="A12" s="52" t="s">
        <v>45</v>
      </c>
      <c r="B12" s="53" t="s">
        <v>40</v>
      </c>
      <c r="C12" s="53" t="s">
        <v>16</v>
      </c>
      <c r="D12" s="53" t="s">
        <v>46</v>
      </c>
      <c r="E12" s="54">
        <v>91846</v>
      </c>
      <c r="F12" s="55">
        <v>42071</v>
      </c>
      <c r="G12" s="56">
        <v>2.9491525423728815</v>
      </c>
      <c r="H12" s="57" t="s">
        <v>27</v>
      </c>
      <c r="I12" s="58" t="s">
        <v>47</v>
      </c>
      <c r="J12" s="72" t="str">
        <f t="shared" si="0"/>
        <v>High Salary</v>
      </c>
      <c r="K12" s="180"/>
      <c r="L12" s="180"/>
      <c r="M12" s="181"/>
      <c r="N12" s="182"/>
    </row>
    <row r="13" spans="1:15">
      <c r="A13" s="52" t="s">
        <v>48</v>
      </c>
      <c r="B13" s="53" t="s">
        <v>38</v>
      </c>
      <c r="C13" s="53" t="s">
        <v>10</v>
      </c>
      <c r="D13" s="53" t="s">
        <v>46</v>
      </c>
      <c r="E13" s="54">
        <v>64247</v>
      </c>
      <c r="F13" s="55">
        <v>42078</v>
      </c>
      <c r="G13" s="56">
        <v>1</v>
      </c>
      <c r="H13" s="57" t="s">
        <v>35</v>
      </c>
      <c r="I13" s="58" t="s">
        <v>49</v>
      </c>
      <c r="J13" s="72" t="str">
        <f t="shared" si="0"/>
        <v>Normal</v>
      </c>
      <c r="K13" s="180" t="s">
        <v>299</v>
      </c>
      <c r="L13" s="180" t="s">
        <v>300</v>
      </c>
      <c r="M13" s="181" t="s">
        <v>301</v>
      </c>
      <c r="N13" s="183">
        <f>AVERAGEIF(C3:C152,"Sales",(G3:G152))</f>
        <v>2.7541478129713424</v>
      </c>
    </row>
    <row r="14" spans="1:15">
      <c r="A14" s="52" t="s">
        <v>50</v>
      </c>
      <c r="B14" s="53" t="s">
        <v>38</v>
      </c>
      <c r="C14" s="53" t="s">
        <v>33</v>
      </c>
      <c r="D14" s="53" t="s">
        <v>26</v>
      </c>
      <c r="E14" s="54">
        <v>91180</v>
      </c>
      <c r="F14" s="55">
        <v>42085</v>
      </c>
      <c r="G14" s="56">
        <v>5</v>
      </c>
      <c r="H14" s="57" t="s">
        <v>27</v>
      </c>
      <c r="I14" s="58" t="s">
        <v>51</v>
      </c>
      <c r="J14" s="72" t="str">
        <f t="shared" si="0"/>
        <v>High Salary</v>
      </c>
      <c r="K14" s="180"/>
      <c r="L14" s="180"/>
      <c r="M14" s="181"/>
      <c r="N14" s="183"/>
    </row>
    <row r="15" spans="1:15">
      <c r="A15" s="52" t="s">
        <v>52</v>
      </c>
      <c r="B15" s="53" t="s">
        <v>53</v>
      </c>
      <c r="C15" s="53" t="s">
        <v>25</v>
      </c>
      <c r="D15" s="53" t="s">
        <v>12</v>
      </c>
      <c r="E15" s="54">
        <v>96418</v>
      </c>
      <c r="F15" s="55">
        <v>42092</v>
      </c>
      <c r="G15" s="56">
        <v>5</v>
      </c>
      <c r="H15" s="57" t="s">
        <v>27</v>
      </c>
      <c r="I15" s="58" t="s">
        <v>19</v>
      </c>
      <c r="J15" s="72" t="str">
        <f t="shared" si="0"/>
        <v>High Salary</v>
      </c>
      <c r="K15" s="177"/>
      <c r="L15" s="178"/>
      <c r="M15" s="177"/>
      <c r="N15" s="177"/>
    </row>
    <row r="16" spans="1:15">
      <c r="A16" s="52" t="s">
        <v>54</v>
      </c>
      <c r="B16" s="67" t="s">
        <v>38</v>
      </c>
      <c r="C16" s="53" t="s">
        <v>12</v>
      </c>
      <c r="D16" s="53" t="s">
        <v>34</v>
      </c>
      <c r="E16" s="54">
        <v>62158</v>
      </c>
      <c r="F16" s="55">
        <v>42099</v>
      </c>
      <c r="G16" s="56">
        <v>4</v>
      </c>
      <c r="H16" s="57" t="s">
        <v>12</v>
      </c>
      <c r="I16" s="58" t="s">
        <v>55</v>
      </c>
      <c r="J16" s="72" t="str">
        <f t="shared" si="0"/>
        <v>Normal</v>
      </c>
      <c r="K16" s="177"/>
      <c r="L16" s="178"/>
      <c r="M16" s="177"/>
      <c r="N16" s="177"/>
    </row>
    <row r="17" spans="1:10">
      <c r="A17" s="52" t="s">
        <v>56</v>
      </c>
      <c r="B17" s="53" t="s">
        <v>30</v>
      </c>
      <c r="C17" s="53" t="s">
        <v>16</v>
      </c>
      <c r="D17" s="53" t="s">
        <v>12</v>
      </c>
      <c r="E17" s="54">
        <v>59894</v>
      </c>
      <c r="F17" s="55">
        <v>42106</v>
      </c>
      <c r="G17" s="56">
        <v>2</v>
      </c>
      <c r="H17" s="57" t="s">
        <v>27</v>
      </c>
      <c r="I17" s="58" t="s">
        <v>57</v>
      </c>
      <c r="J17" s="72" t="str">
        <f t="shared" si="0"/>
        <v>Normal</v>
      </c>
    </row>
    <row r="18" spans="1:10">
      <c r="A18" s="52" t="s">
        <v>58</v>
      </c>
      <c r="B18" s="53" t="s">
        <v>12</v>
      </c>
      <c r="C18" s="53" t="s">
        <v>33</v>
      </c>
      <c r="D18" s="53" t="s">
        <v>34</v>
      </c>
      <c r="E18" s="54">
        <v>92443</v>
      </c>
      <c r="F18" s="55">
        <v>42113</v>
      </c>
      <c r="G18" s="56">
        <v>3</v>
      </c>
      <c r="H18" s="57" t="s">
        <v>18</v>
      </c>
      <c r="I18" s="58" t="s">
        <v>59</v>
      </c>
      <c r="J18" s="72" t="str">
        <f t="shared" si="0"/>
        <v>High Salary</v>
      </c>
    </row>
    <row r="19" spans="1:10">
      <c r="A19" s="52" t="s">
        <v>60</v>
      </c>
      <c r="B19" s="67" t="s">
        <v>53</v>
      </c>
      <c r="C19" s="53" t="s">
        <v>12</v>
      </c>
      <c r="D19" s="53" t="s">
        <v>17</v>
      </c>
      <c r="E19" s="54">
        <v>90271</v>
      </c>
      <c r="F19" s="55">
        <v>42120</v>
      </c>
      <c r="G19" s="56">
        <v>2.9285714285714284</v>
      </c>
      <c r="H19" s="57" t="s">
        <v>12</v>
      </c>
      <c r="I19" s="58" t="s">
        <v>61</v>
      </c>
      <c r="J19" s="72" t="str">
        <f t="shared" si="0"/>
        <v>High Salary</v>
      </c>
    </row>
    <row r="20" spans="1:10">
      <c r="A20" s="52" t="s">
        <v>62</v>
      </c>
      <c r="B20" s="53" t="s">
        <v>30</v>
      </c>
      <c r="C20" s="53" t="s">
        <v>10</v>
      </c>
      <c r="D20" s="53" t="s">
        <v>63</v>
      </c>
      <c r="E20" s="54">
        <v>41341</v>
      </c>
      <c r="F20" s="55">
        <v>42127</v>
      </c>
      <c r="G20" s="56">
        <v>1</v>
      </c>
      <c r="H20" s="57" t="s">
        <v>18</v>
      </c>
      <c r="I20" s="58" t="s">
        <v>64</v>
      </c>
      <c r="J20" s="72" t="str">
        <f t="shared" si="0"/>
        <v>Normal</v>
      </c>
    </row>
    <row r="21" spans="1:10">
      <c r="A21" s="52" t="s">
        <v>65</v>
      </c>
      <c r="B21" s="53" t="s">
        <v>21</v>
      </c>
      <c r="C21" s="53" t="s">
        <v>10</v>
      </c>
      <c r="D21" s="53" t="s">
        <v>46</v>
      </c>
      <c r="E21" s="54">
        <v>73602</v>
      </c>
      <c r="F21" s="55">
        <v>42134</v>
      </c>
      <c r="G21" s="56">
        <v>2.9459459459459461</v>
      </c>
      <c r="H21" s="57" t="s">
        <v>12</v>
      </c>
      <c r="I21" s="58" t="s">
        <v>66</v>
      </c>
      <c r="J21" s="72" t="str">
        <f t="shared" si="0"/>
        <v>Normal</v>
      </c>
    </row>
    <row r="22" spans="1:10">
      <c r="A22" s="52" t="s">
        <v>67</v>
      </c>
      <c r="B22" s="67" t="s">
        <v>15</v>
      </c>
      <c r="C22" s="53" t="s">
        <v>12</v>
      </c>
      <c r="D22" s="53" t="s">
        <v>34</v>
      </c>
      <c r="E22" s="54">
        <v>67531</v>
      </c>
      <c r="F22" s="55">
        <v>42141</v>
      </c>
      <c r="G22" s="56">
        <v>5</v>
      </c>
      <c r="H22" s="57" t="s">
        <v>35</v>
      </c>
      <c r="I22" s="58" t="s">
        <v>68</v>
      </c>
      <c r="J22" s="72" t="str">
        <f t="shared" si="0"/>
        <v>Normal</v>
      </c>
    </row>
    <row r="23" spans="1:10">
      <c r="A23" s="52" t="s">
        <v>69</v>
      </c>
      <c r="B23" s="53" t="s">
        <v>30</v>
      </c>
      <c r="C23" s="53" t="s">
        <v>16</v>
      </c>
      <c r="D23" s="53" t="s">
        <v>26</v>
      </c>
      <c r="E23" s="54">
        <v>65248.853658536587</v>
      </c>
      <c r="F23" s="55">
        <v>42148</v>
      </c>
      <c r="G23" s="56">
        <v>2</v>
      </c>
      <c r="H23" s="57" t="s">
        <v>18</v>
      </c>
      <c r="I23" s="58" t="s">
        <v>70</v>
      </c>
      <c r="J23" s="72" t="str">
        <f t="shared" si="0"/>
        <v>Normal</v>
      </c>
    </row>
    <row r="24" spans="1:10">
      <c r="A24" s="52" t="s">
        <v>71</v>
      </c>
      <c r="B24" s="53" t="s">
        <v>30</v>
      </c>
      <c r="C24" s="53" t="s">
        <v>16</v>
      </c>
      <c r="D24" s="53" t="s">
        <v>12</v>
      </c>
      <c r="E24" s="54">
        <v>98922</v>
      </c>
      <c r="F24" s="55">
        <v>42155</v>
      </c>
      <c r="G24" s="56">
        <v>4</v>
      </c>
      <c r="H24" s="57" t="s">
        <v>12</v>
      </c>
      <c r="I24" s="58" t="s">
        <v>72</v>
      </c>
      <c r="J24" s="72" t="str">
        <f t="shared" si="0"/>
        <v>High Salary</v>
      </c>
    </row>
    <row r="25" spans="1:10">
      <c r="A25" s="52" t="s">
        <v>73</v>
      </c>
      <c r="B25" s="53" t="s">
        <v>15</v>
      </c>
      <c r="C25" s="53" t="s">
        <v>10</v>
      </c>
      <c r="D25" s="53" t="s">
        <v>34</v>
      </c>
      <c r="E25" s="54">
        <v>38333</v>
      </c>
      <c r="F25" s="55">
        <v>42162</v>
      </c>
      <c r="G25" s="56">
        <v>5</v>
      </c>
      <c r="H25" s="57" t="s">
        <v>12</v>
      </c>
      <c r="I25" s="58" t="s">
        <v>74</v>
      </c>
      <c r="J25" s="72" t="str">
        <f t="shared" si="0"/>
        <v>Normal</v>
      </c>
    </row>
    <row r="26" spans="1:10">
      <c r="A26" s="52" t="s">
        <v>75</v>
      </c>
      <c r="B26" s="53" t="s">
        <v>21</v>
      </c>
      <c r="C26" s="53" t="s">
        <v>41</v>
      </c>
      <c r="D26" s="53" t="s">
        <v>46</v>
      </c>
      <c r="E26" s="54">
        <v>36515</v>
      </c>
      <c r="F26" s="55">
        <v>42169</v>
      </c>
      <c r="G26" s="56">
        <v>3</v>
      </c>
      <c r="H26" s="57" t="s">
        <v>27</v>
      </c>
      <c r="I26" s="58" t="s">
        <v>76</v>
      </c>
      <c r="J26" s="72" t="str">
        <f t="shared" si="0"/>
        <v>Normal</v>
      </c>
    </row>
    <row r="27" spans="1:10">
      <c r="A27" s="52" t="s">
        <v>77</v>
      </c>
      <c r="B27" s="53" t="s">
        <v>38</v>
      </c>
      <c r="C27" s="53" t="s">
        <v>10</v>
      </c>
      <c r="D27" s="53" t="s">
        <v>12</v>
      </c>
      <c r="E27" s="54">
        <v>91005</v>
      </c>
      <c r="F27" s="55">
        <v>42176</v>
      </c>
      <c r="G27" s="56">
        <v>1</v>
      </c>
      <c r="H27" s="57" t="s">
        <v>18</v>
      </c>
      <c r="I27" s="58" t="s">
        <v>78</v>
      </c>
      <c r="J27" s="72" t="str">
        <f t="shared" si="0"/>
        <v>High Salary</v>
      </c>
    </row>
    <row r="28" spans="1:10">
      <c r="A28" s="52" t="s">
        <v>79</v>
      </c>
      <c r="B28" s="53" t="s">
        <v>40</v>
      </c>
      <c r="C28" s="53" t="s">
        <v>12</v>
      </c>
      <c r="D28" s="53" t="s">
        <v>12</v>
      </c>
      <c r="E28" s="54">
        <v>52272</v>
      </c>
      <c r="F28" s="55">
        <v>42183</v>
      </c>
      <c r="G28" s="56">
        <v>3</v>
      </c>
      <c r="H28" s="57" t="s">
        <v>12</v>
      </c>
      <c r="I28" s="58" t="s">
        <v>80</v>
      </c>
      <c r="J28" s="72" t="str">
        <f t="shared" si="0"/>
        <v>Normal</v>
      </c>
    </row>
    <row r="29" spans="1:10">
      <c r="A29" s="52" t="s">
        <v>81</v>
      </c>
      <c r="B29" s="53" t="s">
        <v>15</v>
      </c>
      <c r="C29" s="53" t="s">
        <v>25</v>
      </c>
      <c r="D29" s="53" t="s">
        <v>17</v>
      </c>
      <c r="E29" s="54">
        <v>76518</v>
      </c>
      <c r="F29" s="55">
        <v>42190</v>
      </c>
      <c r="G29" s="56">
        <v>2</v>
      </c>
      <c r="H29" s="57" t="s">
        <v>35</v>
      </c>
      <c r="I29" s="58" t="s">
        <v>82</v>
      </c>
      <c r="J29" s="72" t="str">
        <f t="shared" si="0"/>
        <v>Normal</v>
      </c>
    </row>
    <row r="30" spans="1:10">
      <c r="A30" s="52" t="s">
        <v>83</v>
      </c>
      <c r="B30" s="53" t="s">
        <v>21</v>
      </c>
      <c r="C30" s="53" t="s">
        <v>33</v>
      </c>
      <c r="D30" s="53" t="s">
        <v>46</v>
      </c>
      <c r="E30" s="54">
        <v>41448</v>
      </c>
      <c r="F30" s="55">
        <v>42197</v>
      </c>
      <c r="G30" s="56">
        <v>3</v>
      </c>
      <c r="H30" s="57" t="s">
        <v>18</v>
      </c>
      <c r="I30" s="58" t="s">
        <v>84</v>
      </c>
      <c r="J30" s="72" t="str">
        <f t="shared" si="0"/>
        <v>Normal</v>
      </c>
    </row>
    <row r="31" spans="1:10">
      <c r="A31" s="52" t="s">
        <v>85</v>
      </c>
      <c r="B31" s="53" t="s">
        <v>24</v>
      </c>
      <c r="C31" s="53" t="s">
        <v>16</v>
      </c>
      <c r="D31" s="53" t="s">
        <v>46</v>
      </c>
      <c r="E31" s="54">
        <v>49282</v>
      </c>
      <c r="F31" s="55">
        <v>42204</v>
      </c>
      <c r="G31" s="56">
        <v>2</v>
      </c>
      <c r="H31" s="57" t="s">
        <v>35</v>
      </c>
      <c r="I31" s="58" t="s">
        <v>86</v>
      </c>
      <c r="J31" s="72" t="str">
        <f t="shared" si="0"/>
        <v>Normal</v>
      </c>
    </row>
    <row r="32" spans="1:10">
      <c r="A32" s="52" t="s">
        <v>87</v>
      </c>
      <c r="B32" s="53" t="s">
        <v>53</v>
      </c>
      <c r="C32" s="53" t="s">
        <v>41</v>
      </c>
      <c r="D32" s="53" t="s">
        <v>46</v>
      </c>
      <c r="E32" s="54">
        <v>92959</v>
      </c>
      <c r="F32" s="55">
        <v>42211</v>
      </c>
      <c r="G32" s="56">
        <v>5</v>
      </c>
      <c r="H32" s="57" t="s">
        <v>12</v>
      </c>
      <c r="I32" s="58" t="s">
        <v>88</v>
      </c>
      <c r="J32" s="72" t="str">
        <f t="shared" si="0"/>
        <v>High Salary</v>
      </c>
    </row>
    <row r="33" spans="1:10">
      <c r="A33" s="52" t="s">
        <v>89</v>
      </c>
      <c r="B33" s="53" t="s">
        <v>12</v>
      </c>
      <c r="C33" s="67" t="s">
        <v>41</v>
      </c>
      <c r="D33" s="53" t="s">
        <v>12</v>
      </c>
      <c r="E33" s="54">
        <v>92259</v>
      </c>
      <c r="F33" s="55" t="s">
        <v>12</v>
      </c>
      <c r="G33" s="56">
        <v>1</v>
      </c>
      <c r="H33" s="57" t="s">
        <v>12</v>
      </c>
      <c r="I33" s="58" t="s">
        <v>90</v>
      </c>
      <c r="J33" s="72" t="str">
        <f t="shared" si="0"/>
        <v>High Salary</v>
      </c>
    </row>
    <row r="34" spans="1:10">
      <c r="A34" s="52" t="s">
        <v>91</v>
      </c>
      <c r="B34" s="53" t="s">
        <v>15</v>
      </c>
      <c r="C34" s="53" t="s">
        <v>16</v>
      </c>
      <c r="D34" s="53" t="s">
        <v>17</v>
      </c>
      <c r="E34" s="54">
        <v>92299</v>
      </c>
      <c r="F34" s="55">
        <v>42225</v>
      </c>
      <c r="G34" s="56">
        <v>3</v>
      </c>
      <c r="H34" s="57" t="s">
        <v>27</v>
      </c>
      <c r="I34" s="58" t="s">
        <v>92</v>
      </c>
      <c r="J34" s="72" t="str">
        <f t="shared" si="0"/>
        <v>High Salary</v>
      </c>
    </row>
    <row r="35" spans="1:10">
      <c r="A35" s="52" t="s">
        <v>93</v>
      </c>
      <c r="B35" s="53" t="s">
        <v>38</v>
      </c>
      <c r="C35" s="53" t="s">
        <v>16</v>
      </c>
      <c r="D35" s="53" t="s">
        <v>12</v>
      </c>
      <c r="E35" s="54">
        <v>95586</v>
      </c>
      <c r="F35" s="55">
        <v>42232</v>
      </c>
      <c r="G35" s="56">
        <v>3</v>
      </c>
      <c r="H35" s="57" t="s">
        <v>18</v>
      </c>
      <c r="I35" s="58" t="s">
        <v>94</v>
      </c>
      <c r="J35" s="72" t="str">
        <f t="shared" si="0"/>
        <v>High Salary</v>
      </c>
    </row>
    <row r="36" spans="1:10">
      <c r="A36" s="52" t="s">
        <v>95</v>
      </c>
      <c r="B36" s="53" t="s">
        <v>40</v>
      </c>
      <c r="C36" s="53" t="s">
        <v>12</v>
      </c>
      <c r="D36" s="53" t="s">
        <v>26</v>
      </c>
      <c r="E36" s="54">
        <v>95367</v>
      </c>
      <c r="F36" s="55">
        <v>42239</v>
      </c>
      <c r="G36" s="56">
        <v>2.9381443298969074</v>
      </c>
      <c r="H36" s="57" t="s">
        <v>27</v>
      </c>
      <c r="I36" s="58" t="s">
        <v>96</v>
      </c>
      <c r="J36" s="72" t="str">
        <f t="shared" si="0"/>
        <v>High Salary</v>
      </c>
    </row>
    <row r="37" spans="1:10">
      <c r="A37" s="52" t="s">
        <v>97</v>
      </c>
      <c r="B37" s="53" t="s">
        <v>24</v>
      </c>
      <c r="C37" s="53" t="s">
        <v>25</v>
      </c>
      <c r="D37" s="53" t="s">
        <v>63</v>
      </c>
      <c r="E37" s="54">
        <v>79549</v>
      </c>
      <c r="F37" s="55">
        <v>42246</v>
      </c>
      <c r="G37" s="56">
        <v>3</v>
      </c>
      <c r="H37" s="57" t="s">
        <v>12</v>
      </c>
      <c r="I37" s="58" t="s">
        <v>98</v>
      </c>
      <c r="J37" s="72" t="str">
        <f t="shared" si="0"/>
        <v>Normal</v>
      </c>
    </row>
    <row r="38" spans="1:10">
      <c r="A38" s="52" t="s">
        <v>99</v>
      </c>
      <c r="B38" s="67" t="s">
        <v>21</v>
      </c>
      <c r="C38" s="53" t="s">
        <v>12</v>
      </c>
      <c r="D38" s="53" t="s">
        <v>46</v>
      </c>
      <c r="E38" s="54">
        <v>54463</v>
      </c>
      <c r="F38" s="55">
        <v>42253</v>
      </c>
      <c r="G38" s="56">
        <v>4</v>
      </c>
      <c r="H38" s="57" t="s">
        <v>27</v>
      </c>
      <c r="I38" s="58" t="s">
        <v>12</v>
      </c>
      <c r="J38" s="72" t="str">
        <f t="shared" si="0"/>
        <v>Normal</v>
      </c>
    </row>
    <row r="39" spans="1:10">
      <c r="A39" s="52" t="s">
        <v>100</v>
      </c>
      <c r="B39" s="53" t="s">
        <v>21</v>
      </c>
      <c r="C39" s="53" t="s">
        <v>33</v>
      </c>
      <c r="D39" s="53" t="s">
        <v>26</v>
      </c>
      <c r="E39" s="54">
        <v>89781</v>
      </c>
      <c r="F39" s="55">
        <v>42260</v>
      </c>
      <c r="G39" s="56">
        <v>2.9263157894736844</v>
      </c>
      <c r="H39" s="57" t="s">
        <v>35</v>
      </c>
      <c r="I39" s="58" t="s">
        <v>101</v>
      </c>
      <c r="J39" s="72" t="str">
        <f t="shared" si="0"/>
        <v>High Salary</v>
      </c>
    </row>
    <row r="40" spans="1:10">
      <c r="A40" s="52" t="s">
        <v>102</v>
      </c>
      <c r="B40" s="53" t="s">
        <v>21</v>
      </c>
      <c r="C40" s="53" t="s">
        <v>16</v>
      </c>
      <c r="D40" s="53" t="s">
        <v>12</v>
      </c>
      <c r="E40" s="54">
        <v>64796</v>
      </c>
      <c r="F40" s="55">
        <v>42267</v>
      </c>
      <c r="G40" s="56">
        <v>2.9263157894736844</v>
      </c>
      <c r="H40" s="57" t="s">
        <v>18</v>
      </c>
      <c r="I40" s="58" t="s">
        <v>103</v>
      </c>
      <c r="J40" s="72" t="str">
        <f t="shared" si="0"/>
        <v>Normal</v>
      </c>
    </row>
    <row r="41" spans="1:10">
      <c r="A41" s="52" t="s">
        <v>104</v>
      </c>
      <c r="B41" s="53" t="s">
        <v>24</v>
      </c>
      <c r="C41" s="53" t="s">
        <v>41</v>
      </c>
      <c r="D41" s="53" t="s">
        <v>46</v>
      </c>
      <c r="E41" s="54">
        <v>52093</v>
      </c>
      <c r="F41" s="55">
        <v>42274</v>
      </c>
      <c r="G41" s="56">
        <v>5</v>
      </c>
      <c r="H41" s="57" t="s">
        <v>12</v>
      </c>
      <c r="I41" s="58" t="s">
        <v>105</v>
      </c>
      <c r="J41" s="72" t="str">
        <f t="shared" si="0"/>
        <v>Normal</v>
      </c>
    </row>
    <row r="42" spans="1:10">
      <c r="A42" s="52" t="s">
        <v>106</v>
      </c>
      <c r="B42" s="53" t="s">
        <v>40</v>
      </c>
      <c r="C42" s="53" t="s">
        <v>16</v>
      </c>
      <c r="D42" s="53" t="s">
        <v>46</v>
      </c>
      <c r="E42" s="54">
        <v>48224</v>
      </c>
      <c r="F42" s="55">
        <v>42281</v>
      </c>
      <c r="G42" s="56">
        <v>3</v>
      </c>
      <c r="H42" s="57" t="s">
        <v>12</v>
      </c>
      <c r="I42" s="58" t="s">
        <v>107</v>
      </c>
      <c r="J42" s="72" t="str">
        <f t="shared" si="0"/>
        <v>Normal</v>
      </c>
    </row>
    <row r="43" spans="1:10">
      <c r="A43" s="52" t="s">
        <v>108</v>
      </c>
      <c r="B43" s="53" t="s">
        <v>53</v>
      </c>
      <c r="C43" s="53" t="s">
        <v>10</v>
      </c>
      <c r="D43" s="53" t="s">
        <v>46</v>
      </c>
      <c r="E43" s="54">
        <v>64268.634615384617</v>
      </c>
      <c r="F43" s="55" t="s">
        <v>12</v>
      </c>
      <c r="G43" s="56">
        <v>4</v>
      </c>
      <c r="H43" s="57" t="s">
        <v>35</v>
      </c>
      <c r="I43" s="58" t="s">
        <v>109</v>
      </c>
      <c r="J43" s="72" t="str">
        <f t="shared" si="0"/>
        <v>Normal</v>
      </c>
    </row>
    <row r="44" spans="1:10">
      <c r="A44" s="52" t="s">
        <v>110</v>
      </c>
      <c r="B44" s="53" t="s">
        <v>21</v>
      </c>
      <c r="C44" s="53" t="s">
        <v>33</v>
      </c>
      <c r="D44" s="53" t="s">
        <v>17</v>
      </c>
      <c r="E44" s="54">
        <v>33956</v>
      </c>
      <c r="F44" s="55">
        <v>42295</v>
      </c>
      <c r="G44" s="56">
        <v>2.8913043478260869</v>
      </c>
      <c r="H44" s="57" t="s">
        <v>12</v>
      </c>
      <c r="I44" s="58" t="s">
        <v>111</v>
      </c>
      <c r="J44" s="72" t="str">
        <f t="shared" si="0"/>
        <v>Normal</v>
      </c>
    </row>
    <row r="45" spans="1:10">
      <c r="A45" s="52" t="s">
        <v>112</v>
      </c>
      <c r="B45" s="67" t="s">
        <v>53</v>
      </c>
      <c r="C45" s="53" t="s">
        <v>12</v>
      </c>
      <c r="D45" s="53" t="s">
        <v>63</v>
      </c>
      <c r="E45" s="54">
        <v>64913</v>
      </c>
      <c r="F45" s="55">
        <v>42302</v>
      </c>
      <c r="G45" s="56">
        <v>1</v>
      </c>
      <c r="H45" s="57" t="s">
        <v>35</v>
      </c>
      <c r="I45" s="58" t="s">
        <v>113</v>
      </c>
      <c r="J45" s="72" t="str">
        <f t="shared" si="0"/>
        <v>Normal</v>
      </c>
    </row>
    <row r="46" spans="1:10">
      <c r="A46" s="52" t="s">
        <v>114</v>
      </c>
      <c r="B46" s="53" t="s">
        <v>21</v>
      </c>
      <c r="C46" s="53" t="s">
        <v>41</v>
      </c>
      <c r="D46" s="53" t="s">
        <v>63</v>
      </c>
      <c r="E46" s="54">
        <v>35326</v>
      </c>
      <c r="F46" s="55">
        <v>42309</v>
      </c>
      <c r="G46" s="56">
        <v>2.912087912087912</v>
      </c>
      <c r="H46" s="57" t="s">
        <v>35</v>
      </c>
      <c r="I46" s="58" t="s">
        <v>115</v>
      </c>
      <c r="J46" s="72" t="str">
        <f t="shared" si="0"/>
        <v>Normal</v>
      </c>
    </row>
    <row r="47" spans="1:10">
      <c r="A47" s="52" t="s">
        <v>116</v>
      </c>
      <c r="B47" s="53" t="s">
        <v>40</v>
      </c>
      <c r="C47" s="53" t="s">
        <v>10</v>
      </c>
      <c r="D47" s="53" t="s">
        <v>12</v>
      </c>
      <c r="E47" s="54">
        <v>81610</v>
      </c>
      <c r="F47" s="55">
        <v>42316</v>
      </c>
      <c r="G47" s="56">
        <v>1</v>
      </c>
      <c r="H47" s="57" t="s">
        <v>12</v>
      </c>
      <c r="I47" s="58" t="s">
        <v>117</v>
      </c>
      <c r="J47" s="72" t="str">
        <f t="shared" si="0"/>
        <v>High Salary</v>
      </c>
    </row>
    <row r="48" spans="1:10">
      <c r="A48" s="52" t="s">
        <v>118</v>
      </c>
      <c r="B48" s="53" t="s">
        <v>12</v>
      </c>
      <c r="C48" s="53" t="s">
        <v>16</v>
      </c>
      <c r="D48" s="53" t="s">
        <v>12</v>
      </c>
      <c r="E48" s="54">
        <v>58962</v>
      </c>
      <c r="F48" s="55">
        <v>42323</v>
      </c>
      <c r="G48" s="56">
        <v>3</v>
      </c>
      <c r="H48" s="57" t="s">
        <v>18</v>
      </c>
      <c r="I48" s="58" t="s">
        <v>19</v>
      </c>
      <c r="J48" s="72" t="str">
        <f t="shared" si="0"/>
        <v>Normal</v>
      </c>
    </row>
    <row r="49" spans="1:10">
      <c r="A49" s="52" t="s">
        <v>119</v>
      </c>
      <c r="B49" s="53" t="s">
        <v>40</v>
      </c>
      <c r="C49" s="53" t="s">
        <v>33</v>
      </c>
      <c r="D49" s="53" t="s">
        <v>17</v>
      </c>
      <c r="E49" s="54">
        <v>92701</v>
      </c>
      <c r="F49" s="55">
        <v>42330</v>
      </c>
      <c r="G49" s="56">
        <v>3</v>
      </c>
      <c r="H49" s="57" t="s">
        <v>18</v>
      </c>
      <c r="I49" s="58" t="s">
        <v>120</v>
      </c>
      <c r="J49" s="72" t="str">
        <f t="shared" si="0"/>
        <v>High Salary</v>
      </c>
    </row>
    <row r="50" spans="1:10">
      <c r="A50" s="52" t="s">
        <v>121</v>
      </c>
      <c r="B50" s="53" t="s">
        <v>40</v>
      </c>
      <c r="C50" s="53" t="s">
        <v>16</v>
      </c>
      <c r="D50" s="53" t="s">
        <v>34</v>
      </c>
      <c r="E50" s="54">
        <v>58245</v>
      </c>
      <c r="F50" s="55">
        <v>42337</v>
      </c>
      <c r="G50" s="56">
        <v>4</v>
      </c>
      <c r="H50" s="57" t="s">
        <v>12</v>
      </c>
      <c r="I50" s="58" t="s">
        <v>122</v>
      </c>
      <c r="J50" s="72" t="str">
        <f t="shared" si="0"/>
        <v>Normal</v>
      </c>
    </row>
    <row r="51" spans="1:10">
      <c r="A51" s="52" t="s">
        <v>123</v>
      </c>
      <c r="B51" s="53" t="s">
        <v>24</v>
      </c>
      <c r="C51" s="53" t="s">
        <v>10</v>
      </c>
      <c r="D51" s="53" t="s">
        <v>12</v>
      </c>
      <c r="E51" s="54">
        <v>66513</v>
      </c>
      <c r="F51" s="55">
        <v>42344</v>
      </c>
      <c r="G51" s="56">
        <v>2</v>
      </c>
      <c r="H51" s="57" t="s">
        <v>18</v>
      </c>
      <c r="I51" s="58" t="s">
        <v>36</v>
      </c>
      <c r="J51" s="72" t="str">
        <f t="shared" si="0"/>
        <v>Normal</v>
      </c>
    </row>
    <row r="52" spans="1:10">
      <c r="A52" s="52" t="s">
        <v>124</v>
      </c>
      <c r="B52" s="53" t="s">
        <v>15</v>
      </c>
      <c r="C52" s="53" t="s">
        <v>16</v>
      </c>
      <c r="D52" s="53" t="s">
        <v>17</v>
      </c>
      <c r="E52" s="54">
        <v>78720</v>
      </c>
      <c r="F52" s="55">
        <v>42351</v>
      </c>
      <c r="G52" s="56">
        <v>5</v>
      </c>
      <c r="H52" s="57" t="s">
        <v>35</v>
      </c>
      <c r="I52" s="58" t="s">
        <v>109</v>
      </c>
      <c r="J52" s="72" t="str">
        <f t="shared" si="0"/>
        <v>Normal</v>
      </c>
    </row>
    <row r="53" spans="1:10">
      <c r="A53" s="52" t="s">
        <v>125</v>
      </c>
      <c r="B53" s="53" t="s">
        <v>40</v>
      </c>
      <c r="C53" s="53" t="s">
        <v>12</v>
      </c>
      <c r="D53" s="53" t="s">
        <v>12</v>
      </c>
      <c r="E53" s="54">
        <v>30686</v>
      </c>
      <c r="F53" s="55" t="s">
        <v>12</v>
      </c>
      <c r="G53" s="56">
        <v>2</v>
      </c>
      <c r="H53" s="57" t="s">
        <v>35</v>
      </c>
      <c r="I53" s="58" t="s">
        <v>126</v>
      </c>
      <c r="J53" s="72" t="str">
        <f t="shared" si="0"/>
        <v>Normal</v>
      </c>
    </row>
    <row r="54" spans="1:10">
      <c r="A54" s="52" t="s">
        <v>127</v>
      </c>
      <c r="B54" s="53" t="s">
        <v>38</v>
      </c>
      <c r="C54" s="53" t="s">
        <v>25</v>
      </c>
      <c r="D54" s="53" t="s">
        <v>34</v>
      </c>
      <c r="E54" s="54">
        <v>39423</v>
      </c>
      <c r="F54" s="55">
        <v>42365</v>
      </c>
      <c r="G54" s="56">
        <v>5</v>
      </c>
      <c r="H54" s="57" t="s">
        <v>12</v>
      </c>
      <c r="I54" s="58" t="s">
        <v>128</v>
      </c>
      <c r="J54" s="72" t="str">
        <f t="shared" si="0"/>
        <v>Normal</v>
      </c>
    </row>
    <row r="55" spans="1:10">
      <c r="A55" s="52" t="s">
        <v>129</v>
      </c>
      <c r="B55" s="53" t="s">
        <v>15</v>
      </c>
      <c r="C55" s="67" t="s">
        <v>41</v>
      </c>
      <c r="D55" s="53" t="s">
        <v>12</v>
      </c>
      <c r="E55" s="54">
        <v>30280</v>
      </c>
      <c r="F55" s="55">
        <v>42372</v>
      </c>
      <c r="G55" s="56">
        <v>1</v>
      </c>
      <c r="H55" s="57" t="s">
        <v>12</v>
      </c>
      <c r="I55" s="58" t="s">
        <v>130</v>
      </c>
      <c r="J55" s="72" t="str">
        <f t="shared" si="0"/>
        <v>Normal</v>
      </c>
    </row>
    <row r="56" spans="1:10">
      <c r="A56" s="52" t="s">
        <v>131</v>
      </c>
      <c r="B56" s="53" t="s">
        <v>15</v>
      </c>
      <c r="C56" s="53" t="s">
        <v>10</v>
      </c>
      <c r="D56" s="53" t="s">
        <v>46</v>
      </c>
      <c r="E56" s="54">
        <v>33352</v>
      </c>
      <c r="F56" s="55">
        <v>42379</v>
      </c>
      <c r="G56" s="56">
        <v>3</v>
      </c>
      <c r="H56" s="57" t="s">
        <v>35</v>
      </c>
      <c r="I56" s="58" t="s">
        <v>70</v>
      </c>
      <c r="J56" s="72" t="str">
        <f t="shared" si="0"/>
        <v>Normal</v>
      </c>
    </row>
    <row r="57" spans="1:10">
      <c r="A57" s="52" t="s">
        <v>132</v>
      </c>
      <c r="B57" s="53" t="s">
        <v>53</v>
      </c>
      <c r="C57" s="53" t="s">
        <v>41</v>
      </c>
      <c r="D57" s="53" t="s">
        <v>46</v>
      </c>
      <c r="E57" s="54">
        <v>75633</v>
      </c>
      <c r="F57" s="55">
        <v>42386</v>
      </c>
      <c r="G57" s="56">
        <v>5</v>
      </c>
      <c r="H57" s="57" t="s">
        <v>18</v>
      </c>
      <c r="I57" s="58" t="s">
        <v>133</v>
      </c>
      <c r="J57" s="72" t="str">
        <f t="shared" si="0"/>
        <v>Normal</v>
      </c>
    </row>
    <row r="58" spans="1:10">
      <c r="A58" s="52" t="s">
        <v>134</v>
      </c>
      <c r="B58" s="53" t="s">
        <v>40</v>
      </c>
      <c r="C58" s="53" t="s">
        <v>12</v>
      </c>
      <c r="D58" s="53" t="s">
        <v>26</v>
      </c>
      <c r="E58" s="54">
        <v>74815</v>
      </c>
      <c r="F58" s="55">
        <v>42393</v>
      </c>
      <c r="G58" s="56">
        <v>5</v>
      </c>
      <c r="H58" s="57" t="s">
        <v>35</v>
      </c>
      <c r="I58" s="58" t="s">
        <v>135</v>
      </c>
      <c r="J58" s="72" t="str">
        <f t="shared" si="0"/>
        <v>Normal</v>
      </c>
    </row>
    <row r="59" spans="1:10">
      <c r="A59" s="52" t="s">
        <v>136</v>
      </c>
      <c r="B59" s="53" t="s">
        <v>24</v>
      </c>
      <c r="C59" s="53" t="s">
        <v>25</v>
      </c>
      <c r="D59" s="53" t="s">
        <v>63</v>
      </c>
      <c r="E59" s="54">
        <v>60011</v>
      </c>
      <c r="F59" s="55">
        <v>42400</v>
      </c>
      <c r="G59" s="56">
        <v>1</v>
      </c>
      <c r="H59" s="57" t="s">
        <v>27</v>
      </c>
      <c r="I59" s="58" t="s">
        <v>137</v>
      </c>
      <c r="J59" s="72" t="str">
        <f t="shared" si="0"/>
        <v>Normal</v>
      </c>
    </row>
    <row r="60" spans="1:10">
      <c r="A60" s="52" t="s">
        <v>138</v>
      </c>
      <c r="B60" s="67" t="s">
        <v>15</v>
      </c>
      <c r="C60" s="53" t="s">
        <v>12</v>
      </c>
      <c r="D60" s="53" t="s">
        <v>34</v>
      </c>
      <c r="E60" s="54">
        <v>96949</v>
      </c>
      <c r="F60" s="55">
        <v>42407</v>
      </c>
      <c r="G60" s="56">
        <v>3</v>
      </c>
      <c r="H60" s="57" t="s">
        <v>12</v>
      </c>
      <c r="I60" s="58" t="s">
        <v>84</v>
      </c>
      <c r="J60" s="72" t="str">
        <f t="shared" si="0"/>
        <v>High Salary</v>
      </c>
    </row>
    <row r="61" spans="1:10">
      <c r="A61" s="52" t="s">
        <v>139</v>
      </c>
      <c r="B61" s="53" t="s">
        <v>38</v>
      </c>
      <c r="C61" s="67" t="s">
        <v>41</v>
      </c>
      <c r="D61" s="53" t="s">
        <v>12</v>
      </c>
      <c r="E61" s="54">
        <v>84924</v>
      </c>
      <c r="F61" s="55">
        <v>42414</v>
      </c>
      <c r="G61" s="56">
        <v>5</v>
      </c>
      <c r="H61" s="57" t="s">
        <v>27</v>
      </c>
      <c r="I61" s="58" t="s">
        <v>140</v>
      </c>
      <c r="J61" s="72" t="str">
        <f t="shared" si="0"/>
        <v>High Salary</v>
      </c>
    </row>
    <row r="62" spans="1:10">
      <c r="A62" s="52" t="s">
        <v>141</v>
      </c>
      <c r="B62" s="53" t="s">
        <v>38</v>
      </c>
      <c r="C62" s="53" t="s">
        <v>10</v>
      </c>
      <c r="D62" s="53" t="s">
        <v>26</v>
      </c>
      <c r="E62" s="54">
        <v>82033</v>
      </c>
      <c r="F62" s="55">
        <v>42421</v>
      </c>
      <c r="G62" s="56">
        <v>1</v>
      </c>
      <c r="H62" s="57" t="s">
        <v>12</v>
      </c>
      <c r="I62" s="58" t="s">
        <v>117</v>
      </c>
      <c r="J62" s="72" t="str">
        <f t="shared" si="0"/>
        <v>High Salary</v>
      </c>
    </row>
    <row r="63" spans="1:10">
      <c r="A63" s="52" t="s">
        <v>142</v>
      </c>
      <c r="B63" s="53" t="s">
        <v>12</v>
      </c>
      <c r="C63" s="53" t="s">
        <v>41</v>
      </c>
      <c r="D63" s="53" t="s">
        <v>17</v>
      </c>
      <c r="E63" s="54">
        <v>64763.364705882355</v>
      </c>
      <c r="F63" s="55" t="s">
        <v>12</v>
      </c>
      <c r="G63" s="56">
        <v>5</v>
      </c>
      <c r="H63" s="57" t="s">
        <v>12</v>
      </c>
      <c r="I63" s="58" t="s">
        <v>143</v>
      </c>
      <c r="J63" s="72" t="str">
        <f t="shared" si="0"/>
        <v>Normal</v>
      </c>
    </row>
    <row r="64" spans="1:10">
      <c r="A64" s="52" t="s">
        <v>144</v>
      </c>
      <c r="B64" s="67" t="s">
        <v>15</v>
      </c>
      <c r="C64" s="53" t="s">
        <v>12</v>
      </c>
      <c r="D64" s="53" t="s">
        <v>63</v>
      </c>
      <c r="E64" s="54">
        <v>31499</v>
      </c>
      <c r="F64" s="55">
        <v>42435</v>
      </c>
      <c r="G64" s="56">
        <v>2</v>
      </c>
      <c r="H64" s="57" t="s">
        <v>12</v>
      </c>
      <c r="I64" s="58" t="s">
        <v>101</v>
      </c>
      <c r="J64" s="72" t="str">
        <f t="shared" si="0"/>
        <v>Normal</v>
      </c>
    </row>
    <row r="65" spans="1:10">
      <c r="A65" s="52" t="s">
        <v>145</v>
      </c>
      <c r="B65" s="53" t="s">
        <v>40</v>
      </c>
      <c r="C65" s="53" t="s">
        <v>33</v>
      </c>
      <c r="D65" s="53" t="s">
        <v>46</v>
      </c>
      <c r="E65" s="54">
        <v>97981</v>
      </c>
      <c r="F65" s="55">
        <v>42442</v>
      </c>
      <c r="G65" s="56">
        <v>5</v>
      </c>
      <c r="H65" s="57" t="s">
        <v>35</v>
      </c>
      <c r="I65" s="58" t="s">
        <v>146</v>
      </c>
      <c r="J65" s="72" t="str">
        <f t="shared" si="0"/>
        <v>High Salary</v>
      </c>
    </row>
    <row r="66" spans="1:10">
      <c r="A66" s="52" t="s">
        <v>147</v>
      </c>
      <c r="B66" s="53" t="s">
        <v>15</v>
      </c>
      <c r="C66" s="53" t="s">
        <v>16</v>
      </c>
      <c r="D66" s="53" t="s">
        <v>26</v>
      </c>
      <c r="E66" s="54">
        <v>36541</v>
      </c>
      <c r="F66" s="55">
        <v>42449</v>
      </c>
      <c r="G66" s="56">
        <v>2</v>
      </c>
      <c r="H66" s="57" t="s">
        <v>18</v>
      </c>
      <c r="I66" s="58" t="s">
        <v>148</v>
      </c>
      <c r="J66" s="72" t="str">
        <f t="shared" si="0"/>
        <v>Normal</v>
      </c>
    </row>
    <row r="67" spans="1:10">
      <c r="A67" s="52" t="s">
        <v>149</v>
      </c>
      <c r="B67" s="53" t="s">
        <v>24</v>
      </c>
      <c r="C67" s="53" t="s">
        <v>33</v>
      </c>
      <c r="D67" s="53" t="s">
        <v>34</v>
      </c>
      <c r="E67" s="54">
        <v>84737</v>
      </c>
      <c r="F67" s="55">
        <v>42456</v>
      </c>
      <c r="G67" s="56">
        <v>1</v>
      </c>
      <c r="H67" s="57" t="s">
        <v>27</v>
      </c>
      <c r="I67" s="58" t="s">
        <v>150</v>
      </c>
      <c r="J67" s="72" t="str">
        <f t="shared" si="0"/>
        <v>High Salary</v>
      </c>
    </row>
    <row r="68" spans="1:10">
      <c r="A68" s="52" t="s">
        <v>151</v>
      </c>
      <c r="B68" s="53" t="s">
        <v>38</v>
      </c>
      <c r="C68" s="53" t="s">
        <v>10</v>
      </c>
      <c r="D68" s="53" t="s">
        <v>34</v>
      </c>
      <c r="E68" s="54">
        <v>33468</v>
      </c>
      <c r="F68" s="55">
        <v>42463</v>
      </c>
      <c r="G68" s="56">
        <v>4</v>
      </c>
      <c r="H68" s="57" t="s">
        <v>27</v>
      </c>
      <c r="I68" s="58" t="s">
        <v>152</v>
      </c>
      <c r="J68" s="72" t="str">
        <f t="shared" ref="J68:J131" si="1">IF(E68&gt;80000,"High Salary", "Normal")</f>
        <v>Normal</v>
      </c>
    </row>
    <row r="69" spans="1:10">
      <c r="A69" s="52" t="s">
        <v>153</v>
      </c>
      <c r="B69" s="67" t="s">
        <v>38</v>
      </c>
      <c r="C69" s="53" t="s">
        <v>12</v>
      </c>
      <c r="D69" s="53" t="s">
        <v>63</v>
      </c>
      <c r="E69" s="54">
        <v>96365</v>
      </c>
      <c r="F69" s="55">
        <v>42470</v>
      </c>
      <c r="G69" s="56">
        <v>3</v>
      </c>
      <c r="H69" s="57" t="s">
        <v>18</v>
      </c>
      <c r="I69" s="58" t="s">
        <v>154</v>
      </c>
      <c r="J69" s="72" t="str">
        <f t="shared" si="1"/>
        <v>High Salary</v>
      </c>
    </row>
    <row r="70" spans="1:10">
      <c r="A70" s="52" t="s">
        <v>155</v>
      </c>
      <c r="B70" s="53" t="s">
        <v>21</v>
      </c>
      <c r="C70" s="53" t="s">
        <v>25</v>
      </c>
      <c r="D70" s="53" t="s">
        <v>34</v>
      </c>
      <c r="E70" s="54">
        <v>61942</v>
      </c>
      <c r="F70" s="55">
        <v>42477</v>
      </c>
      <c r="G70" s="56">
        <v>3</v>
      </c>
      <c r="H70" s="57" t="s">
        <v>35</v>
      </c>
      <c r="I70" s="58" t="s">
        <v>156</v>
      </c>
      <c r="J70" s="72" t="str">
        <f t="shared" si="1"/>
        <v>Normal</v>
      </c>
    </row>
    <row r="71" spans="1:10">
      <c r="A71" s="52" t="s">
        <v>157</v>
      </c>
      <c r="B71" s="53" t="s">
        <v>38</v>
      </c>
      <c r="C71" s="53" t="s">
        <v>10</v>
      </c>
      <c r="D71" s="53" t="s">
        <v>46</v>
      </c>
      <c r="E71" s="54">
        <v>41467</v>
      </c>
      <c r="F71" s="55">
        <v>42484</v>
      </c>
      <c r="G71" s="56">
        <v>2</v>
      </c>
      <c r="H71" s="57" t="s">
        <v>12</v>
      </c>
      <c r="I71" s="58" t="s">
        <v>72</v>
      </c>
      <c r="J71" s="72" t="str">
        <f t="shared" si="1"/>
        <v>Normal</v>
      </c>
    </row>
    <row r="72" spans="1:10">
      <c r="A72" s="52" t="s">
        <v>158</v>
      </c>
      <c r="B72" s="53" t="s">
        <v>53</v>
      </c>
      <c r="C72" s="53" t="s">
        <v>10</v>
      </c>
      <c r="D72" s="53" t="s">
        <v>34</v>
      </c>
      <c r="E72" s="54">
        <v>77096</v>
      </c>
      <c r="F72" s="55">
        <v>42491</v>
      </c>
      <c r="G72" s="56">
        <v>1</v>
      </c>
      <c r="H72" s="57" t="s">
        <v>12</v>
      </c>
      <c r="I72" s="58" t="s">
        <v>159</v>
      </c>
      <c r="J72" s="72" t="str">
        <f t="shared" si="1"/>
        <v>Normal</v>
      </c>
    </row>
    <row r="73" spans="1:10">
      <c r="A73" s="52" t="s">
        <v>160</v>
      </c>
      <c r="B73" s="53" t="s">
        <v>15</v>
      </c>
      <c r="C73" s="53" t="s">
        <v>25</v>
      </c>
      <c r="D73" s="53" t="s">
        <v>63</v>
      </c>
      <c r="E73" s="54">
        <v>69952</v>
      </c>
      <c r="F73" s="55">
        <v>42498</v>
      </c>
      <c r="G73" s="56">
        <v>5</v>
      </c>
      <c r="H73" s="57" t="s">
        <v>35</v>
      </c>
      <c r="I73" s="58" t="s">
        <v>12</v>
      </c>
      <c r="J73" s="72" t="str">
        <f t="shared" si="1"/>
        <v>Normal</v>
      </c>
    </row>
    <row r="74" spans="1:10">
      <c r="A74" s="52" t="s">
        <v>161</v>
      </c>
      <c r="B74" s="53" t="s">
        <v>15</v>
      </c>
      <c r="C74" s="53" t="s">
        <v>41</v>
      </c>
      <c r="D74" s="53" t="s">
        <v>26</v>
      </c>
      <c r="E74" s="54">
        <v>85065</v>
      </c>
      <c r="F74" s="55">
        <v>42505</v>
      </c>
      <c r="G74" s="56">
        <v>3</v>
      </c>
      <c r="H74" s="57" t="s">
        <v>12</v>
      </c>
      <c r="I74" s="58" t="s">
        <v>162</v>
      </c>
      <c r="J74" s="72" t="str">
        <f t="shared" si="1"/>
        <v>High Salary</v>
      </c>
    </row>
    <row r="75" spans="1:10">
      <c r="A75" s="52" t="s">
        <v>163</v>
      </c>
      <c r="B75" s="53" t="s">
        <v>53</v>
      </c>
      <c r="C75" s="53" t="s">
        <v>41</v>
      </c>
      <c r="D75" s="53" t="s">
        <v>34</v>
      </c>
      <c r="E75" s="54">
        <v>56512</v>
      </c>
      <c r="F75" s="55">
        <v>42512</v>
      </c>
      <c r="G75" s="56">
        <v>2.8571428571428572</v>
      </c>
      <c r="H75" s="57" t="s">
        <v>18</v>
      </c>
      <c r="I75" s="58" t="s">
        <v>47</v>
      </c>
      <c r="J75" s="72" t="str">
        <f t="shared" si="1"/>
        <v>Normal</v>
      </c>
    </row>
    <row r="76" spans="1:10">
      <c r="A76" s="52" t="s">
        <v>164</v>
      </c>
      <c r="B76" s="53" t="s">
        <v>24</v>
      </c>
      <c r="C76" s="53" t="s">
        <v>25</v>
      </c>
      <c r="D76" s="53" t="s">
        <v>34</v>
      </c>
      <c r="E76" s="54">
        <v>91101</v>
      </c>
      <c r="F76" s="55">
        <v>42519</v>
      </c>
      <c r="G76" s="56">
        <v>4</v>
      </c>
      <c r="H76" s="57" t="s">
        <v>35</v>
      </c>
      <c r="I76" s="58" t="s">
        <v>146</v>
      </c>
      <c r="J76" s="72" t="str">
        <f t="shared" si="1"/>
        <v>High Salary</v>
      </c>
    </row>
    <row r="77" spans="1:10">
      <c r="A77" s="52" t="s">
        <v>165</v>
      </c>
      <c r="B77" s="67" t="s">
        <v>38</v>
      </c>
      <c r="C77" s="53" t="s">
        <v>12</v>
      </c>
      <c r="D77" s="53" t="s">
        <v>17</v>
      </c>
      <c r="E77" s="54">
        <v>41243</v>
      </c>
      <c r="F77" s="55">
        <v>42526</v>
      </c>
      <c r="G77" s="56">
        <v>2.838709677419355</v>
      </c>
      <c r="H77" s="57" t="s">
        <v>12</v>
      </c>
      <c r="I77" s="58" t="s">
        <v>92</v>
      </c>
      <c r="J77" s="72" t="str">
        <f t="shared" si="1"/>
        <v>Normal</v>
      </c>
    </row>
    <row r="78" spans="1:10">
      <c r="A78" s="52" t="s">
        <v>166</v>
      </c>
      <c r="B78" s="53" t="s">
        <v>12</v>
      </c>
      <c r="C78" s="53" t="s">
        <v>25</v>
      </c>
      <c r="D78" s="53" t="s">
        <v>12</v>
      </c>
      <c r="E78" s="54">
        <v>96142</v>
      </c>
      <c r="F78" s="55">
        <v>42533</v>
      </c>
      <c r="G78" s="56">
        <v>1</v>
      </c>
      <c r="H78" s="57" t="s">
        <v>18</v>
      </c>
      <c r="I78" s="58" t="s">
        <v>167</v>
      </c>
      <c r="J78" s="72" t="str">
        <f t="shared" si="1"/>
        <v>High Salary</v>
      </c>
    </row>
    <row r="79" spans="1:10">
      <c r="A79" s="52" t="s">
        <v>168</v>
      </c>
      <c r="B79" s="53" t="s">
        <v>15</v>
      </c>
      <c r="C79" s="53" t="s">
        <v>33</v>
      </c>
      <c r="D79" s="53" t="s">
        <v>34</v>
      </c>
      <c r="E79" s="54">
        <v>94301</v>
      </c>
      <c r="F79" s="55">
        <v>42540</v>
      </c>
      <c r="G79" s="56">
        <v>1</v>
      </c>
      <c r="H79" s="57" t="s">
        <v>27</v>
      </c>
      <c r="I79" s="58" t="s">
        <v>117</v>
      </c>
      <c r="J79" s="72" t="str">
        <f t="shared" si="1"/>
        <v>High Salary</v>
      </c>
    </row>
    <row r="80" spans="1:10">
      <c r="A80" s="52" t="s">
        <v>169</v>
      </c>
      <c r="B80" s="67" t="s">
        <v>30</v>
      </c>
      <c r="C80" s="53" t="s">
        <v>12</v>
      </c>
      <c r="D80" s="53" t="s">
        <v>46</v>
      </c>
      <c r="E80" s="54">
        <v>69166</v>
      </c>
      <c r="F80" s="55">
        <v>42547</v>
      </c>
      <c r="G80" s="56">
        <v>1</v>
      </c>
      <c r="H80" s="57" t="s">
        <v>35</v>
      </c>
      <c r="I80" s="58" t="s">
        <v>170</v>
      </c>
      <c r="J80" s="72" t="str">
        <f t="shared" si="1"/>
        <v>Normal</v>
      </c>
    </row>
    <row r="81" spans="1:10">
      <c r="A81" s="52" t="s">
        <v>171</v>
      </c>
      <c r="B81" s="67" t="s">
        <v>38</v>
      </c>
      <c r="C81" s="53" t="s">
        <v>12</v>
      </c>
      <c r="D81" s="53" t="s">
        <v>46</v>
      </c>
      <c r="E81" s="54">
        <v>78245</v>
      </c>
      <c r="F81" s="55">
        <v>42554</v>
      </c>
      <c r="G81" s="56">
        <v>2</v>
      </c>
      <c r="H81" s="57" t="s">
        <v>12</v>
      </c>
      <c r="I81" s="58" t="s">
        <v>172</v>
      </c>
      <c r="J81" s="72" t="str">
        <f t="shared" si="1"/>
        <v>Normal</v>
      </c>
    </row>
    <row r="82" spans="1:10">
      <c r="A82" s="52" t="s">
        <v>173</v>
      </c>
      <c r="B82" s="53" t="s">
        <v>40</v>
      </c>
      <c r="C82" s="53" t="s">
        <v>25</v>
      </c>
      <c r="D82" s="53" t="s">
        <v>26</v>
      </c>
      <c r="E82" s="54">
        <v>66079</v>
      </c>
      <c r="F82" s="55">
        <v>42561</v>
      </c>
      <c r="G82" s="56">
        <v>2</v>
      </c>
      <c r="H82" s="57" t="s">
        <v>18</v>
      </c>
      <c r="I82" s="58" t="s">
        <v>174</v>
      </c>
      <c r="J82" s="72" t="str">
        <f t="shared" si="1"/>
        <v>Normal</v>
      </c>
    </row>
    <row r="83" spans="1:10">
      <c r="A83" s="52" t="s">
        <v>175</v>
      </c>
      <c r="B83" s="53" t="s">
        <v>15</v>
      </c>
      <c r="C83" s="53" t="s">
        <v>41</v>
      </c>
      <c r="D83" s="53" t="s">
        <v>34</v>
      </c>
      <c r="E83" s="54">
        <v>63575.515151515152</v>
      </c>
      <c r="F83" s="55" t="s">
        <v>12</v>
      </c>
      <c r="G83" s="56">
        <v>2.9649122807017543</v>
      </c>
      <c r="H83" s="57" t="s">
        <v>12</v>
      </c>
      <c r="I83" s="58" t="s">
        <v>86</v>
      </c>
      <c r="J83" s="72" t="str">
        <f t="shared" si="1"/>
        <v>Normal</v>
      </c>
    </row>
    <row r="84" spans="1:10">
      <c r="A84" s="52" t="s">
        <v>176</v>
      </c>
      <c r="B84" s="53" t="s">
        <v>30</v>
      </c>
      <c r="C84" s="53" t="s">
        <v>25</v>
      </c>
      <c r="D84" s="53" t="s">
        <v>26</v>
      </c>
      <c r="E84" s="54">
        <v>95621</v>
      </c>
      <c r="F84" s="55">
        <v>42575</v>
      </c>
      <c r="G84" s="56">
        <v>3</v>
      </c>
      <c r="H84" s="57" t="s">
        <v>35</v>
      </c>
      <c r="I84" s="58" t="s">
        <v>177</v>
      </c>
      <c r="J84" s="72" t="str">
        <f t="shared" si="1"/>
        <v>High Salary</v>
      </c>
    </row>
    <row r="85" spans="1:10">
      <c r="A85" s="52" t="s">
        <v>178</v>
      </c>
      <c r="B85" s="53" t="s">
        <v>15</v>
      </c>
      <c r="C85" s="53" t="s">
        <v>33</v>
      </c>
      <c r="D85" s="53" t="s">
        <v>46</v>
      </c>
      <c r="E85" s="54">
        <v>42262</v>
      </c>
      <c r="F85" s="55">
        <v>42582</v>
      </c>
      <c r="G85" s="56">
        <v>1</v>
      </c>
      <c r="H85" s="57" t="s">
        <v>12</v>
      </c>
      <c r="I85" s="58" t="s">
        <v>179</v>
      </c>
      <c r="J85" s="72" t="str">
        <f t="shared" si="1"/>
        <v>Normal</v>
      </c>
    </row>
    <row r="86" spans="1:10">
      <c r="A86" s="52" t="s">
        <v>180</v>
      </c>
      <c r="B86" s="53" t="s">
        <v>38</v>
      </c>
      <c r="C86" s="53" t="s">
        <v>25</v>
      </c>
      <c r="D86" s="53" t="s">
        <v>34</v>
      </c>
      <c r="E86" s="54">
        <v>99621</v>
      </c>
      <c r="F86" s="55">
        <v>42589</v>
      </c>
      <c r="G86" s="56">
        <v>3</v>
      </c>
      <c r="H86" s="57" t="s">
        <v>18</v>
      </c>
      <c r="I86" s="58" t="s">
        <v>181</v>
      </c>
      <c r="J86" s="72" t="str">
        <f t="shared" si="1"/>
        <v>High Salary</v>
      </c>
    </row>
    <row r="87" spans="1:10">
      <c r="A87" s="52" t="s">
        <v>182</v>
      </c>
      <c r="B87" s="53" t="s">
        <v>24</v>
      </c>
      <c r="C87" s="53" t="s">
        <v>41</v>
      </c>
      <c r="D87" s="53" t="s">
        <v>34</v>
      </c>
      <c r="E87" s="54">
        <v>44682</v>
      </c>
      <c r="F87" s="55">
        <v>42596</v>
      </c>
      <c r="G87" s="56">
        <v>4</v>
      </c>
      <c r="H87" s="57" t="s">
        <v>35</v>
      </c>
      <c r="I87" s="58" t="s">
        <v>111</v>
      </c>
      <c r="J87" s="72" t="str">
        <f t="shared" si="1"/>
        <v>Normal</v>
      </c>
    </row>
    <row r="88" spans="1:10">
      <c r="A88" s="52" t="s">
        <v>183</v>
      </c>
      <c r="B88" s="53" t="s">
        <v>40</v>
      </c>
      <c r="C88" s="53" t="s">
        <v>10</v>
      </c>
      <c r="D88" s="53" t="s">
        <v>12</v>
      </c>
      <c r="E88" s="54">
        <v>35163</v>
      </c>
      <c r="F88" s="55">
        <v>42603</v>
      </c>
      <c r="G88" s="56">
        <v>5</v>
      </c>
      <c r="H88" s="57" t="s">
        <v>18</v>
      </c>
      <c r="I88" s="58" t="s">
        <v>184</v>
      </c>
      <c r="J88" s="72" t="str">
        <f t="shared" si="1"/>
        <v>Normal</v>
      </c>
    </row>
    <row r="89" spans="1:10">
      <c r="A89" s="52" t="s">
        <v>185</v>
      </c>
      <c r="B89" s="53" t="s">
        <v>40</v>
      </c>
      <c r="C89" s="53" t="s">
        <v>33</v>
      </c>
      <c r="D89" s="53" t="s">
        <v>34</v>
      </c>
      <c r="E89" s="54">
        <v>33483</v>
      </c>
      <c r="F89" s="55">
        <v>42610</v>
      </c>
      <c r="G89" s="56">
        <v>4</v>
      </c>
      <c r="H89" s="57" t="s">
        <v>27</v>
      </c>
      <c r="I89" s="58" t="s">
        <v>186</v>
      </c>
      <c r="J89" s="72" t="str">
        <f t="shared" si="1"/>
        <v>Normal</v>
      </c>
    </row>
    <row r="90" spans="1:10">
      <c r="A90" s="52" t="s">
        <v>187</v>
      </c>
      <c r="B90" s="53" t="s">
        <v>38</v>
      </c>
      <c r="C90" s="53" t="s">
        <v>16</v>
      </c>
      <c r="D90" s="53" t="s">
        <v>17</v>
      </c>
      <c r="E90" s="54">
        <v>55303</v>
      </c>
      <c r="F90" s="55">
        <v>42617</v>
      </c>
      <c r="G90" s="56">
        <v>4</v>
      </c>
      <c r="H90" s="57" t="s">
        <v>27</v>
      </c>
      <c r="I90" s="58" t="s">
        <v>76</v>
      </c>
      <c r="J90" s="72" t="str">
        <f t="shared" si="1"/>
        <v>Normal</v>
      </c>
    </row>
    <row r="91" spans="1:10">
      <c r="A91" s="52" t="s">
        <v>188</v>
      </c>
      <c r="B91" s="53" t="s">
        <v>40</v>
      </c>
      <c r="C91" s="53" t="s">
        <v>33</v>
      </c>
      <c r="D91" s="53" t="s">
        <v>12</v>
      </c>
      <c r="E91" s="54">
        <v>63434</v>
      </c>
      <c r="F91" s="55">
        <v>42624</v>
      </c>
      <c r="G91" s="56">
        <v>3</v>
      </c>
      <c r="H91" s="57" t="s">
        <v>12</v>
      </c>
      <c r="I91" s="58" t="s">
        <v>189</v>
      </c>
      <c r="J91" s="72" t="str">
        <f t="shared" si="1"/>
        <v>Normal</v>
      </c>
    </row>
    <row r="92" spans="1:10">
      <c r="A92" s="52" t="s">
        <v>190</v>
      </c>
      <c r="B92" s="67" t="s">
        <v>30</v>
      </c>
      <c r="C92" s="53" t="s">
        <v>12</v>
      </c>
      <c r="D92" s="53" t="s">
        <v>63</v>
      </c>
      <c r="E92" s="54">
        <v>38830</v>
      </c>
      <c r="F92" s="55">
        <v>42631</v>
      </c>
      <c r="G92" s="56">
        <v>3</v>
      </c>
      <c r="H92" s="57" t="s">
        <v>18</v>
      </c>
      <c r="I92" s="58" t="s">
        <v>76</v>
      </c>
      <c r="J92" s="72" t="str">
        <f t="shared" si="1"/>
        <v>Normal</v>
      </c>
    </row>
    <row r="93" spans="1:10">
      <c r="A93" s="52" t="s">
        <v>191</v>
      </c>
      <c r="B93" s="53" t="s">
        <v>12</v>
      </c>
      <c r="C93" s="53" t="s">
        <v>41</v>
      </c>
      <c r="D93" s="53" t="s">
        <v>46</v>
      </c>
      <c r="E93" s="54">
        <v>50741</v>
      </c>
      <c r="F93" s="55">
        <v>42638</v>
      </c>
      <c r="G93" s="56">
        <v>3</v>
      </c>
      <c r="H93" s="57" t="s">
        <v>12</v>
      </c>
      <c r="I93" s="58" t="s">
        <v>159</v>
      </c>
      <c r="J93" s="72" t="str">
        <f t="shared" si="1"/>
        <v>Normal</v>
      </c>
    </row>
    <row r="94" spans="1:10">
      <c r="A94" s="52" t="s">
        <v>192</v>
      </c>
      <c r="B94" s="53" t="s">
        <v>21</v>
      </c>
      <c r="C94" s="53" t="s">
        <v>16</v>
      </c>
      <c r="D94" s="53" t="s">
        <v>63</v>
      </c>
      <c r="E94" s="54">
        <v>69420</v>
      </c>
      <c r="F94" s="55">
        <v>42645</v>
      </c>
      <c r="G94" s="56">
        <v>1</v>
      </c>
      <c r="H94" s="57" t="s">
        <v>27</v>
      </c>
      <c r="I94" s="58" t="s">
        <v>122</v>
      </c>
      <c r="J94" s="72" t="str">
        <f t="shared" si="1"/>
        <v>Normal</v>
      </c>
    </row>
    <row r="95" spans="1:10">
      <c r="A95" s="52" t="s">
        <v>193</v>
      </c>
      <c r="B95" s="53" t="s">
        <v>30</v>
      </c>
      <c r="C95" s="53" t="s">
        <v>33</v>
      </c>
      <c r="D95" s="53" t="s">
        <v>12</v>
      </c>
      <c r="E95" s="54">
        <v>80588</v>
      </c>
      <c r="F95" s="55">
        <v>42652</v>
      </c>
      <c r="G95" s="56">
        <v>5</v>
      </c>
      <c r="H95" s="57" t="s">
        <v>27</v>
      </c>
      <c r="I95" s="58" t="s">
        <v>103</v>
      </c>
      <c r="J95" s="72" t="str">
        <f t="shared" si="1"/>
        <v>High Salary</v>
      </c>
    </row>
    <row r="96" spans="1:10">
      <c r="A96" s="52" t="s">
        <v>194</v>
      </c>
      <c r="B96" s="67" t="s">
        <v>21</v>
      </c>
      <c r="C96" s="53" t="s">
        <v>12</v>
      </c>
      <c r="D96" s="53" t="s">
        <v>26</v>
      </c>
      <c r="E96" s="54">
        <v>76238</v>
      </c>
      <c r="F96" s="55">
        <v>42659</v>
      </c>
      <c r="G96" s="56">
        <v>4</v>
      </c>
      <c r="H96" s="57" t="s">
        <v>27</v>
      </c>
      <c r="I96" s="58" t="s">
        <v>195</v>
      </c>
      <c r="J96" s="72" t="str">
        <f t="shared" si="1"/>
        <v>Normal</v>
      </c>
    </row>
    <row r="97" spans="1:10">
      <c r="A97" s="52" t="s">
        <v>196</v>
      </c>
      <c r="B97" s="53" t="s">
        <v>53</v>
      </c>
      <c r="C97" s="53" t="s">
        <v>33</v>
      </c>
      <c r="D97" s="53" t="s">
        <v>34</v>
      </c>
      <c r="E97" s="54">
        <v>33264</v>
      </c>
      <c r="F97" s="55">
        <v>42666</v>
      </c>
      <c r="G97" s="56">
        <v>2.8666666666666667</v>
      </c>
      <c r="H97" s="57" t="s">
        <v>35</v>
      </c>
      <c r="I97" s="58" t="s">
        <v>197</v>
      </c>
      <c r="J97" s="72" t="str">
        <f t="shared" si="1"/>
        <v>Normal</v>
      </c>
    </row>
    <row r="98" spans="1:10">
      <c r="A98" s="52" t="s">
        <v>198</v>
      </c>
      <c r="B98" s="53" t="s">
        <v>21</v>
      </c>
      <c r="C98" s="53" t="s">
        <v>10</v>
      </c>
      <c r="D98" s="53" t="s">
        <v>63</v>
      </c>
      <c r="E98" s="54">
        <v>96101</v>
      </c>
      <c r="F98" s="55">
        <v>42673</v>
      </c>
      <c r="G98" s="56">
        <v>2.8666666666666667</v>
      </c>
      <c r="H98" s="57" t="s">
        <v>18</v>
      </c>
      <c r="I98" s="58" t="s">
        <v>199</v>
      </c>
      <c r="J98" s="72" t="str">
        <f t="shared" si="1"/>
        <v>High Salary</v>
      </c>
    </row>
    <row r="99" spans="1:10">
      <c r="A99" s="52" t="s">
        <v>200</v>
      </c>
      <c r="B99" s="53" t="s">
        <v>30</v>
      </c>
      <c r="C99" s="53" t="s">
        <v>10</v>
      </c>
      <c r="D99" s="53" t="s">
        <v>26</v>
      </c>
      <c r="E99" s="54">
        <v>72939</v>
      </c>
      <c r="F99" s="55">
        <v>42680</v>
      </c>
      <c r="G99" s="56">
        <v>3</v>
      </c>
      <c r="H99" s="57" t="s">
        <v>12</v>
      </c>
      <c r="I99" s="58" t="s">
        <v>201</v>
      </c>
      <c r="J99" s="72" t="str">
        <f t="shared" si="1"/>
        <v>Normal</v>
      </c>
    </row>
    <row r="100" spans="1:10">
      <c r="A100" s="52" t="s">
        <v>202</v>
      </c>
      <c r="B100" s="53" t="s">
        <v>38</v>
      </c>
      <c r="C100" s="53" t="s">
        <v>16</v>
      </c>
      <c r="D100" s="53" t="s">
        <v>17</v>
      </c>
      <c r="E100" s="54">
        <v>89333</v>
      </c>
      <c r="F100" s="55">
        <v>42687</v>
      </c>
      <c r="G100" s="56">
        <v>1</v>
      </c>
      <c r="H100" s="57" t="s">
        <v>27</v>
      </c>
      <c r="I100" s="58" t="s">
        <v>203</v>
      </c>
      <c r="J100" s="72" t="str">
        <f t="shared" si="1"/>
        <v>High Salary</v>
      </c>
    </row>
    <row r="101" spans="1:10">
      <c r="A101" s="52" t="s">
        <v>204</v>
      </c>
      <c r="B101" s="53" t="s">
        <v>53</v>
      </c>
      <c r="C101" s="53" t="s">
        <v>33</v>
      </c>
      <c r="D101" s="53" t="s">
        <v>63</v>
      </c>
      <c r="E101" s="54">
        <v>70470</v>
      </c>
      <c r="F101" s="55">
        <v>42694</v>
      </c>
      <c r="G101" s="56">
        <v>2.9069767441860463</v>
      </c>
      <c r="H101" s="57" t="s">
        <v>27</v>
      </c>
      <c r="I101" s="58" t="s">
        <v>205</v>
      </c>
      <c r="J101" s="72" t="str">
        <f t="shared" si="1"/>
        <v>Normal</v>
      </c>
    </row>
    <row r="102" spans="1:10">
      <c r="A102" s="52" t="s">
        <v>206</v>
      </c>
      <c r="B102" s="53" t="s">
        <v>15</v>
      </c>
      <c r="C102" s="53" t="s">
        <v>41</v>
      </c>
      <c r="D102" s="53" t="s">
        <v>26</v>
      </c>
      <c r="E102" s="54">
        <v>70096</v>
      </c>
      <c r="F102" s="55">
        <v>42701</v>
      </c>
      <c r="G102" s="56">
        <v>4</v>
      </c>
      <c r="H102" s="57" t="s">
        <v>27</v>
      </c>
      <c r="I102" s="58" t="s">
        <v>207</v>
      </c>
      <c r="J102" s="72" t="str">
        <f t="shared" si="1"/>
        <v>Normal</v>
      </c>
    </row>
    <row r="103" spans="1:10">
      <c r="A103" s="52" t="s">
        <v>208</v>
      </c>
      <c r="B103" s="53" t="s">
        <v>53</v>
      </c>
      <c r="C103" s="53" t="s">
        <v>41</v>
      </c>
      <c r="D103" s="53" t="s">
        <v>12</v>
      </c>
      <c r="E103" s="54">
        <v>63370.106382978724</v>
      </c>
      <c r="F103" s="55">
        <v>42708</v>
      </c>
      <c r="G103" s="56">
        <v>2</v>
      </c>
      <c r="H103" s="57" t="s">
        <v>18</v>
      </c>
      <c r="I103" s="58" t="s">
        <v>209</v>
      </c>
      <c r="J103" s="72" t="str">
        <f t="shared" si="1"/>
        <v>Normal</v>
      </c>
    </row>
    <row r="104" spans="1:10">
      <c r="A104" s="52" t="s">
        <v>210</v>
      </c>
      <c r="B104" s="53" t="s">
        <v>53</v>
      </c>
      <c r="C104" s="53" t="s">
        <v>33</v>
      </c>
      <c r="D104" s="53" t="s">
        <v>17</v>
      </c>
      <c r="E104" s="54">
        <v>66503</v>
      </c>
      <c r="F104" s="55">
        <v>42715</v>
      </c>
      <c r="G104" s="56">
        <v>2.9024390243902438</v>
      </c>
      <c r="H104" s="57" t="s">
        <v>27</v>
      </c>
      <c r="I104" s="58" t="s">
        <v>70</v>
      </c>
      <c r="J104" s="72" t="str">
        <f t="shared" si="1"/>
        <v>Normal</v>
      </c>
    </row>
    <row r="105" spans="1:10">
      <c r="A105" s="52" t="s">
        <v>211</v>
      </c>
      <c r="B105" s="53" t="s">
        <v>21</v>
      </c>
      <c r="C105" s="53" t="s">
        <v>16</v>
      </c>
      <c r="D105" s="53" t="s">
        <v>17</v>
      </c>
      <c r="E105" s="54">
        <v>42096</v>
      </c>
      <c r="F105" s="55">
        <v>42722</v>
      </c>
      <c r="G105" s="56">
        <v>2.9024390243902438</v>
      </c>
      <c r="H105" s="57" t="s">
        <v>35</v>
      </c>
      <c r="I105" s="58" t="s">
        <v>212</v>
      </c>
      <c r="J105" s="72" t="str">
        <f t="shared" si="1"/>
        <v>Normal</v>
      </c>
    </row>
    <row r="106" spans="1:10">
      <c r="A106" s="52" t="s">
        <v>213</v>
      </c>
      <c r="B106" s="53" t="s">
        <v>21</v>
      </c>
      <c r="C106" s="67" t="s">
        <v>41</v>
      </c>
      <c r="D106" s="53" t="s">
        <v>12</v>
      </c>
      <c r="E106" s="54">
        <v>79145</v>
      </c>
      <c r="F106" s="55">
        <v>42729</v>
      </c>
      <c r="G106" s="56">
        <v>5</v>
      </c>
      <c r="H106" s="57" t="s">
        <v>18</v>
      </c>
      <c r="I106" s="58" t="s">
        <v>117</v>
      </c>
      <c r="J106" s="72" t="str">
        <f t="shared" si="1"/>
        <v>Normal</v>
      </c>
    </row>
    <row r="107" spans="1:10">
      <c r="A107" s="52" t="s">
        <v>214</v>
      </c>
      <c r="B107" s="67" t="s">
        <v>30</v>
      </c>
      <c r="C107" s="53" t="s">
        <v>12</v>
      </c>
      <c r="D107" s="53" t="s">
        <v>63</v>
      </c>
      <c r="E107" s="54">
        <v>61556</v>
      </c>
      <c r="F107" s="55">
        <v>42736</v>
      </c>
      <c r="G107" s="56">
        <v>1</v>
      </c>
      <c r="H107" s="57" t="s">
        <v>12</v>
      </c>
      <c r="I107" s="58" t="s">
        <v>209</v>
      </c>
      <c r="J107" s="72" t="str">
        <f t="shared" si="1"/>
        <v>Normal</v>
      </c>
    </row>
    <row r="108" spans="1:10">
      <c r="A108" s="52" t="s">
        <v>215</v>
      </c>
      <c r="B108" s="53" t="s">
        <v>12</v>
      </c>
      <c r="C108" s="53" t="s">
        <v>16</v>
      </c>
      <c r="D108" s="53" t="s">
        <v>46</v>
      </c>
      <c r="E108" s="54">
        <v>87963</v>
      </c>
      <c r="F108" s="55">
        <v>42743</v>
      </c>
      <c r="G108" s="56">
        <v>3</v>
      </c>
      <c r="H108" s="57" t="s">
        <v>18</v>
      </c>
      <c r="I108" s="58" t="s">
        <v>12</v>
      </c>
      <c r="J108" s="72" t="str">
        <f t="shared" si="1"/>
        <v>High Salary</v>
      </c>
    </row>
    <row r="109" spans="1:10">
      <c r="A109" s="52" t="s">
        <v>216</v>
      </c>
      <c r="B109" s="53" t="s">
        <v>15</v>
      </c>
      <c r="C109" s="53" t="s">
        <v>33</v>
      </c>
      <c r="D109" s="53" t="s">
        <v>12</v>
      </c>
      <c r="E109" s="54">
        <v>48325</v>
      </c>
      <c r="F109" s="55">
        <v>42750</v>
      </c>
      <c r="G109" s="56">
        <v>2.8947368421052633</v>
      </c>
      <c r="H109" s="57" t="s">
        <v>27</v>
      </c>
      <c r="I109" s="58" t="s">
        <v>217</v>
      </c>
      <c r="J109" s="72" t="str">
        <f t="shared" si="1"/>
        <v>Normal</v>
      </c>
    </row>
    <row r="110" spans="1:10">
      <c r="A110" s="52" t="s">
        <v>218</v>
      </c>
      <c r="B110" s="53" t="s">
        <v>38</v>
      </c>
      <c r="C110" s="53" t="s">
        <v>41</v>
      </c>
      <c r="D110" s="53" t="s">
        <v>63</v>
      </c>
      <c r="E110" s="54">
        <v>86412</v>
      </c>
      <c r="F110" s="55">
        <v>42757</v>
      </c>
      <c r="G110" s="56">
        <v>2</v>
      </c>
      <c r="H110" s="57" t="s">
        <v>35</v>
      </c>
      <c r="I110" s="58" t="s">
        <v>74</v>
      </c>
      <c r="J110" s="72" t="str">
        <f t="shared" si="1"/>
        <v>High Salary</v>
      </c>
    </row>
    <row r="111" spans="1:10">
      <c r="A111" s="52" t="s">
        <v>219</v>
      </c>
      <c r="B111" s="53" t="s">
        <v>38</v>
      </c>
      <c r="C111" s="53" t="s">
        <v>16</v>
      </c>
      <c r="D111" s="53" t="s">
        <v>12</v>
      </c>
      <c r="E111" s="54">
        <v>66761</v>
      </c>
      <c r="F111" s="55">
        <v>42764</v>
      </c>
      <c r="G111" s="56">
        <v>1</v>
      </c>
      <c r="H111" s="57" t="s">
        <v>12</v>
      </c>
      <c r="I111" s="58" t="s">
        <v>220</v>
      </c>
      <c r="J111" s="72" t="str">
        <f t="shared" si="1"/>
        <v>Normal</v>
      </c>
    </row>
    <row r="112" spans="1:10">
      <c r="A112" s="52" t="s">
        <v>221</v>
      </c>
      <c r="B112" s="67" t="s">
        <v>30</v>
      </c>
      <c r="C112" s="53" t="s">
        <v>12</v>
      </c>
      <c r="D112" s="53" t="s">
        <v>34</v>
      </c>
      <c r="E112" s="54">
        <v>88850</v>
      </c>
      <c r="F112" s="55">
        <v>42771</v>
      </c>
      <c r="G112" s="56">
        <v>1</v>
      </c>
      <c r="H112" s="57" t="s">
        <v>35</v>
      </c>
      <c r="I112" s="58" t="s">
        <v>222</v>
      </c>
      <c r="J112" s="72" t="str">
        <f t="shared" si="1"/>
        <v>High Salary</v>
      </c>
    </row>
    <row r="113" spans="1:10">
      <c r="A113" s="52" t="s">
        <v>223</v>
      </c>
      <c r="B113" s="53" t="s">
        <v>40</v>
      </c>
      <c r="C113" s="53" t="s">
        <v>25</v>
      </c>
      <c r="D113" s="53" t="s">
        <v>34</v>
      </c>
      <c r="E113" s="54">
        <v>31293</v>
      </c>
      <c r="F113" s="55" t="s">
        <v>12</v>
      </c>
      <c r="G113" s="56">
        <v>2</v>
      </c>
      <c r="H113" s="57" t="s">
        <v>35</v>
      </c>
      <c r="I113" s="58" t="s">
        <v>224</v>
      </c>
      <c r="J113" s="72" t="str">
        <f t="shared" si="1"/>
        <v>Normal</v>
      </c>
    </row>
    <row r="114" spans="1:10">
      <c r="A114" s="52" t="s">
        <v>225</v>
      </c>
      <c r="B114" s="53" t="s">
        <v>40</v>
      </c>
      <c r="C114" s="53" t="s">
        <v>33</v>
      </c>
      <c r="D114" s="53" t="s">
        <v>26</v>
      </c>
      <c r="E114" s="54">
        <v>34306</v>
      </c>
      <c r="F114" s="55">
        <v>42785</v>
      </c>
      <c r="G114" s="56">
        <v>5</v>
      </c>
      <c r="H114" s="57" t="s">
        <v>35</v>
      </c>
      <c r="I114" s="58" t="s">
        <v>156</v>
      </c>
      <c r="J114" s="72" t="str">
        <f t="shared" si="1"/>
        <v>Normal</v>
      </c>
    </row>
    <row r="115" spans="1:10">
      <c r="A115" s="52" t="s">
        <v>226</v>
      </c>
      <c r="B115" s="53" t="s">
        <v>15</v>
      </c>
      <c r="C115" s="53" t="s">
        <v>10</v>
      </c>
      <c r="D115" s="53" t="s">
        <v>34</v>
      </c>
      <c r="E115" s="54">
        <v>78330</v>
      </c>
      <c r="F115" s="55">
        <v>42792</v>
      </c>
      <c r="G115" s="56">
        <v>3</v>
      </c>
      <c r="H115" s="57" t="s">
        <v>18</v>
      </c>
      <c r="I115" s="58" t="s">
        <v>207</v>
      </c>
      <c r="J115" s="72" t="str">
        <f t="shared" si="1"/>
        <v>Normal</v>
      </c>
    </row>
    <row r="116" spans="1:10">
      <c r="A116" s="52" t="s">
        <v>227</v>
      </c>
      <c r="B116" s="53" t="s">
        <v>21</v>
      </c>
      <c r="C116" s="53" t="s">
        <v>33</v>
      </c>
      <c r="D116" s="53" t="s">
        <v>26</v>
      </c>
      <c r="E116" s="54">
        <v>47653</v>
      </c>
      <c r="F116" s="55">
        <v>42799</v>
      </c>
      <c r="G116" s="56">
        <v>1</v>
      </c>
      <c r="H116" s="57" t="s">
        <v>27</v>
      </c>
      <c r="I116" s="58" t="s">
        <v>228</v>
      </c>
      <c r="J116" s="72" t="str">
        <f t="shared" si="1"/>
        <v>Normal</v>
      </c>
    </row>
    <row r="117" spans="1:10">
      <c r="A117" s="52" t="s">
        <v>229</v>
      </c>
      <c r="B117" s="53" t="s">
        <v>15</v>
      </c>
      <c r="C117" s="53" t="s">
        <v>41</v>
      </c>
      <c r="D117" s="53" t="s">
        <v>46</v>
      </c>
      <c r="E117" s="54">
        <v>44627</v>
      </c>
      <c r="F117" s="55">
        <v>42806</v>
      </c>
      <c r="G117" s="56">
        <v>4</v>
      </c>
      <c r="H117" s="57" t="s">
        <v>12</v>
      </c>
      <c r="I117" s="58" t="s">
        <v>148</v>
      </c>
      <c r="J117" s="72" t="str">
        <f t="shared" si="1"/>
        <v>Normal</v>
      </c>
    </row>
    <row r="118" spans="1:10">
      <c r="A118" s="52" t="s">
        <v>230</v>
      </c>
      <c r="B118" s="53" t="s">
        <v>53</v>
      </c>
      <c r="C118" s="53" t="s">
        <v>16</v>
      </c>
      <c r="D118" s="53" t="s">
        <v>17</v>
      </c>
      <c r="E118" s="54">
        <v>92343</v>
      </c>
      <c r="F118" s="55">
        <v>42813</v>
      </c>
      <c r="G118" s="56">
        <v>4</v>
      </c>
      <c r="H118" s="57" t="s">
        <v>35</v>
      </c>
      <c r="I118" s="58" t="s">
        <v>76</v>
      </c>
      <c r="J118" s="72" t="str">
        <f t="shared" si="1"/>
        <v>High Salary</v>
      </c>
    </row>
    <row r="119" spans="1:10">
      <c r="A119" s="52" t="s">
        <v>231</v>
      </c>
      <c r="B119" s="53" t="s">
        <v>53</v>
      </c>
      <c r="C119" s="53" t="s">
        <v>41</v>
      </c>
      <c r="D119" s="53" t="s">
        <v>63</v>
      </c>
      <c r="E119" s="54">
        <v>38837</v>
      </c>
      <c r="F119" s="55">
        <v>42820</v>
      </c>
      <c r="G119" s="56">
        <v>5</v>
      </c>
      <c r="H119" s="57" t="s">
        <v>35</v>
      </c>
      <c r="I119" s="58" t="s">
        <v>156</v>
      </c>
      <c r="J119" s="72" t="str">
        <f t="shared" si="1"/>
        <v>Normal</v>
      </c>
    </row>
    <row r="120" spans="1:10">
      <c r="A120" s="52" t="s">
        <v>232</v>
      </c>
      <c r="B120" s="53" t="s">
        <v>53</v>
      </c>
      <c r="C120" s="67" t="s">
        <v>41</v>
      </c>
      <c r="D120" s="53" t="s">
        <v>12</v>
      </c>
      <c r="E120" s="54">
        <v>73483</v>
      </c>
      <c r="F120" s="55">
        <v>42827</v>
      </c>
      <c r="G120" s="56">
        <v>1</v>
      </c>
      <c r="H120" s="57" t="s">
        <v>12</v>
      </c>
      <c r="I120" s="58" t="s">
        <v>233</v>
      </c>
      <c r="J120" s="72" t="str">
        <f t="shared" si="1"/>
        <v>Normal</v>
      </c>
    </row>
    <row r="121" spans="1:10">
      <c r="A121" s="52" t="s">
        <v>234</v>
      </c>
      <c r="B121" s="53" t="s">
        <v>40</v>
      </c>
      <c r="C121" s="53" t="s">
        <v>25</v>
      </c>
      <c r="D121" s="53" t="s">
        <v>34</v>
      </c>
      <c r="E121" s="54">
        <v>95032</v>
      </c>
      <c r="F121" s="55">
        <v>42834</v>
      </c>
      <c r="G121" s="56">
        <v>3</v>
      </c>
      <c r="H121" s="57" t="s">
        <v>12</v>
      </c>
      <c r="I121" s="58" t="s">
        <v>235</v>
      </c>
      <c r="J121" s="72" t="str">
        <f t="shared" si="1"/>
        <v>High Salary</v>
      </c>
    </row>
    <row r="122" spans="1:10">
      <c r="A122" s="52" t="s">
        <v>236</v>
      </c>
      <c r="B122" s="53" t="s">
        <v>15</v>
      </c>
      <c r="C122" s="53" t="s">
        <v>25</v>
      </c>
      <c r="D122" s="53" t="s">
        <v>63</v>
      </c>
      <c r="E122" s="54">
        <v>44358</v>
      </c>
      <c r="F122" s="55">
        <v>42841</v>
      </c>
      <c r="G122" s="56">
        <v>3</v>
      </c>
      <c r="H122" s="57" t="s">
        <v>35</v>
      </c>
      <c r="I122" s="58" t="s">
        <v>70</v>
      </c>
      <c r="J122" s="72" t="str">
        <f t="shared" si="1"/>
        <v>Normal</v>
      </c>
    </row>
    <row r="123" spans="1:10">
      <c r="A123" s="52" t="s">
        <v>237</v>
      </c>
      <c r="B123" s="53" t="s">
        <v>12</v>
      </c>
      <c r="C123" s="53" t="s">
        <v>33</v>
      </c>
      <c r="D123" s="53" t="s">
        <v>26</v>
      </c>
      <c r="E123" s="54">
        <v>63232.928571428572</v>
      </c>
      <c r="F123" s="55" t="s">
        <v>12</v>
      </c>
      <c r="G123" s="56">
        <v>5</v>
      </c>
      <c r="H123" s="57" t="s">
        <v>12</v>
      </c>
      <c r="I123" s="58" t="s">
        <v>238</v>
      </c>
      <c r="J123" s="72" t="str">
        <f t="shared" si="1"/>
        <v>Normal</v>
      </c>
    </row>
    <row r="124" spans="1:10">
      <c r="A124" s="52" t="s">
        <v>239</v>
      </c>
      <c r="B124" s="53" t="s">
        <v>40</v>
      </c>
      <c r="C124" s="53" t="s">
        <v>25</v>
      </c>
      <c r="D124" s="53" t="s">
        <v>26</v>
      </c>
      <c r="E124" s="54">
        <v>45676</v>
      </c>
      <c r="F124" s="55">
        <v>42855</v>
      </c>
      <c r="G124" s="56">
        <v>2</v>
      </c>
      <c r="H124" s="57" t="s">
        <v>12</v>
      </c>
      <c r="I124" s="58" t="s">
        <v>240</v>
      </c>
      <c r="J124" s="72" t="str">
        <f t="shared" si="1"/>
        <v>Normal</v>
      </c>
    </row>
    <row r="125" spans="1:10">
      <c r="A125" s="52" t="s">
        <v>241</v>
      </c>
      <c r="B125" s="53" t="s">
        <v>53</v>
      </c>
      <c r="C125" s="53" t="s">
        <v>25</v>
      </c>
      <c r="D125" s="53" t="s">
        <v>17</v>
      </c>
      <c r="E125" s="54">
        <v>52036</v>
      </c>
      <c r="F125" s="55">
        <v>42862</v>
      </c>
      <c r="G125" s="56">
        <v>3</v>
      </c>
      <c r="H125" s="57" t="s">
        <v>27</v>
      </c>
      <c r="I125" s="58" t="s">
        <v>242</v>
      </c>
      <c r="J125" s="72" t="str">
        <f t="shared" si="1"/>
        <v>Normal</v>
      </c>
    </row>
    <row r="126" spans="1:10">
      <c r="A126" s="52" t="s">
        <v>243</v>
      </c>
      <c r="B126" s="67" t="s">
        <v>30</v>
      </c>
      <c r="C126" s="53" t="s">
        <v>12</v>
      </c>
      <c r="D126" s="53" t="s">
        <v>17</v>
      </c>
      <c r="E126" s="54">
        <v>30357</v>
      </c>
      <c r="F126" s="55">
        <v>42869</v>
      </c>
      <c r="G126" s="56">
        <v>5</v>
      </c>
      <c r="H126" s="57" t="s">
        <v>27</v>
      </c>
      <c r="I126" s="58" t="s">
        <v>181</v>
      </c>
      <c r="J126" s="72" t="str">
        <f t="shared" si="1"/>
        <v>Normal</v>
      </c>
    </row>
    <row r="127" spans="1:10">
      <c r="A127" s="52" t="s">
        <v>244</v>
      </c>
      <c r="B127" s="53" t="s">
        <v>24</v>
      </c>
      <c r="C127" s="53" t="s">
        <v>33</v>
      </c>
      <c r="D127" s="53" t="s">
        <v>12</v>
      </c>
      <c r="E127" s="54">
        <v>60034</v>
      </c>
      <c r="F127" s="55">
        <v>42876</v>
      </c>
      <c r="G127" s="56">
        <v>1</v>
      </c>
      <c r="H127" s="57" t="s">
        <v>35</v>
      </c>
      <c r="I127" s="58" t="s">
        <v>245</v>
      </c>
      <c r="J127" s="72" t="str">
        <f t="shared" si="1"/>
        <v>Normal</v>
      </c>
    </row>
    <row r="128" spans="1:10">
      <c r="A128" s="52" t="s">
        <v>246</v>
      </c>
      <c r="B128" s="53" t="s">
        <v>24</v>
      </c>
      <c r="C128" s="53" t="s">
        <v>10</v>
      </c>
      <c r="D128" s="53" t="s">
        <v>12</v>
      </c>
      <c r="E128" s="54">
        <v>90019</v>
      </c>
      <c r="F128" s="55">
        <v>42883</v>
      </c>
      <c r="G128" s="56">
        <v>5</v>
      </c>
      <c r="H128" s="57" t="s">
        <v>12</v>
      </c>
      <c r="I128" s="58" t="s">
        <v>247</v>
      </c>
      <c r="J128" s="72" t="str">
        <f t="shared" si="1"/>
        <v>High Salary</v>
      </c>
    </row>
    <row r="129" spans="1:10">
      <c r="A129" s="52" t="s">
        <v>248</v>
      </c>
      <c r="B129" s="67" t="s">
        <v>53</v>
      </c>
      <c r="C129" s="53" t="s">
        <v>12</v>
      </c>
      <c r="D129" s="53" t="s">
        <v>17</v>
      </c>
      <c r="E129" s="54">
        <v>71494</v>
      </c>
      <c r="F129" s="55">
        <v>42890</v>
      </c>
      <c r="G129" s="56">
        <v>3</v>
      </c>
      <c r="H129" s="57" t="s">
        <v>27</v>
      </c>
      <c r="I129" s="58" t="s">
        <v>249</v>
      </c>
      <c r="J129" s="72" t="str">
        <f t="shared" si="1"/>
        <v>Normal</v>
      </c>
    </row>
    <row r="130" spans="1:10">
      <c r="A130" s="52" t="s">
        <v>250</v>
      </c>
      <c r="B130" s="53" t="s">
        <v>24</v>
      </c>
      <c r="C130" s="53" t="s">
        <v>10</v>
      </c>
      <c r="D130" s="53" t="s">
        <v>26</v>
      </c>
      <c r="E130" s="54">
        <v>91953</v>
      </c>
      <c r="F130" s="55">
        <v>42897</v>
      </c>
      <c r="G130" s="56">
        <v>2</v>
      </c>
      <c r="H130" s="57" t="s">
        <v>27</v>
      </c>
      <c r="I130" s="58" t="s">
        <v>88</v>
      </c>
      <c r="J130" s="72" t="str">
        <f t="shared" si="1"/>
        <v>High Salary</v>
      </c>
    </row>
    <row r="131" spans="1:10">
      <c r="A131" s="52" t="s">
        <v>251</v>
      </c>
      <c r="B131" s="53" t="s">
        <v>40</v>
      </c>
      <c r="C131" s="53" t="s">
        <v>25</v>
      </c>
      <c r="D131" s="53" t="s">
        <v>26</v>
      </c>
      <c r="E131" s="54">
        <v>30402</v>
      </c>
      <c r="F131" s="55">
        <v>42904</v>
      </c>
      <c r="G131" s="56">
        <v>1</v>
      </c>
      <c r="H131" s="57" t="s">
        <v>12</v>
      </c>
      <c r="I131" s="58" t="s">
        <v>252</v>
      </c>
      <c r="J131" s="72" t="str">
        <f t="shared" si="1"/>
        <v>Normal</v>
      </c>
    </row>
    <row r="132" spans="1:10">
      <c r="A132" s="52" t="s">
        <v>253</v>
      </c>
      <c r="B132" s="67" t="s">
        <v>53</v>
      </c>
      <c r="C132" s="53" t="s">
        <v>12</v>
      </c>
      <c r="D132" s="53" t="s">
        <v>46</v>
      </c>
      <c r="E132" s="54">
        <v>62994</v>
      </c>
      <c r="F132" s="55">
        <v>42911</v>
      </c>
      <c r="G132" s="56">
        <v>3</v>
      </c>
      <c r="H132" s="57" t="s">
        <v>12</v>
      </c>
      <c r="I132" s="58" t="s">
        <v>113</v>
      </c>
      <c r="J132" s="72" t="str">
        <f t="shared" ref="J132:J152" si="2">IF(E132&gt;80000,"High Salary", "Normal")</f>
        <v>Normal</v>
      </c>
    </row>
    <row r="133" spans="1:10">
      <c r="A133" s="52" t="s">
        <v>254</v>
      </c>
      <c r="B133" s="53" t="s">
        <v>21</v>
      </c>
      <c r="C133" s="53" t="s">
        <v>25</v>
      </c>
      <c r="D133" s="53" t="s">
        <v>34</v>
      </c>
      <c r="E133" s="54">
        <v>48289</v>
      </c>
      <c r="F133" s="55" t="s">
        <v>12</v>
      </c>
      <c r="G133" s="56">
        <v>3</v>
      </c>
      <c r="H133" s="57" t="s">
        <v>27</v>
      </c>
      <c r="I133" s="58" t="s">
        <v>44</v>
      </c>
      <c r="J133" s="72" t="str">
        <f t="shared" si="2"/>
        <v>Normal</v>
      </c>
    </row>
    <row r="134" spans="1:10">
      <c r="A134" s="52" t="s">
        <v>255</v>
      </c>
      <c r="B134" s="53" t="s">
        <v>38</v>
      </c>
      <c r="C134" s="53" t="s">
        <v>41</v>
      </c>
      <c r="D134" s="53" t="s">
        <v>17</v>
      </c>
      <c r="E134" s="54">
        <v>34402</v>
      </c>
      <c r="F134" s="55">
        <v>42925</v>
      </c>
      <c r="G134" s="56">
        <v>3</v>
      </c>
      <c r="H134" s="57" t="s">
        <v>18</v>
      </c>
      <c r="I134" s="58" t="s">
        <v>107</v>
      </c>
      <c r="J134" s="72" t="str">
        <f t="shared" si="2"/>
        <v>Normal</v>
      </c>
    </row>
    <row r="135" spans="1:10">
      <c r="A135" s="52" t="s">
        <v>256</v>
      </c>
      <c r="B135" s="53" t="s">
        <v>15</v>
      </c>
      <c r="C135" s="53" t="s">
        <v>16</v>
      </c>
      <c r="D135" s="53" t="s">
        <v>26</v>
      </c>
      <c r="E135" s="54">
        <v>38678</v>
      </c>
      <c r="F135" s="55">
        <v>42932</v>
      </c>
      <c r="G135" s="56">
        <v>3</v>
      </c>
      <c r="H135" s="57" t="s">
        <v>18</v>
      </c>
      <c r="I135" s="58" t="s">
        <v>257</v>
      </c>
      <c r="J135" s="72" t="str">
        <f t="shared" si="2"/>
        <v>Normal</v>
      </c>
    </row>
    <row r="136" spans="1:10">
      <c r="A136" s="52" t="s">
        <v>258</v>
      </c>
      <c r="B136" s="53" t="s">
        <v>40</v>
      </c>
      <c r="C136" s="53" t="s">
        <v>16</v>
      </c>
      <c r="D136" s="53" t="s">
        <v>17</v>
      </c>
      <c r="E136" s="54">
        <v>45758</v>
      </c>
      <c r="F136" s="55">
        <v>42939</v>
      </c>
      <c r="G136" s="56">
        <v>3</v>
      </c>
      <c r="H136" s="57" t="s">
        <v>12</v>
      </c>
      <c r="I136" s="58" t="s">
        <v>224</v>
      </c>
      <c r="J136" s="72" t="str">
        <f t="shared" si="2"/>
        <v>Normal</v>
      </c>
    </row>
    <row r="137" spans="1:10">
      <c r="A137" s="52" t="s">
        <v>259</v>
      </c>
      <c r="B137" s="53" t="s">
        <v>15</v>
      </c>
      <c r="C137" s="53" t="s">
        <v>41</v>
      </c>
      <c r="D137" s="53" t="s">
        <v>34</v>
      </c>
      <c r="E137" s="54">
        <v>62476</v>
      </c>
      <c r="F137" s="55">
        <v>42946</v>
      </c>
      <c r="G137" s="56">
        <v>1</v>
      </c>
      <c r="H137" s="57" t="s">
        <v>18</v>
      </c>
      <c r="I137" s="58" t="s">
        <v>137</v>
      </c>
      <c r="J137" s="72" t="str">
        <f t="shared" si="2"/>
        <v>Normal</v>
      </c>
    </row>
    <row r="138" spans="1:10">
      <c r="A138" s="52" t="s">
        <v>260</v>
      </c>
      <c r="B138" s="53" t="s">
        <v>12</v>
      </c>
      <c r="C138" s="53" t="s">
        <v>33</v>
      </c>
      <c r="D138" s="53" t="s">
        <v>46</v>
      </c>
      <c r="E138" s="54">
        <v>39280</v>
      </c>
      <c r="F138" s="55">
        <v>42953</v>
      </c>
      <c r="G138" s="56">
        <v>3</v>
      </c>
      <c r="H138" s="57" t="s">
        <v>35</v>
      </c>
      <c r="I138" s="58" t="s">
        <v>98</v>
      </c>
      <c r="J138" s="72" t="str">
        <f t="shared" si="2"/>
        <v>Normal</v>
      </c>
    </row>
    <row r="139" spans="1:10">
      <c r="A139" s="52" t="s">
        <v>261</v>
      </c>
      <c r="B139" s="53" t="s">
        <v>30</v>
      </c>
      <c r="C139" s="53" t="s">
        <v>10</v>
      </c>
      <c r="D139" s="53" t="s">
        <v>34</v>
      </c>
      <c r="E139" s="54">
        <v>60335</v>
      </c>
      <c r="F139" s="55">
        <v>42960</v>
      </c>
      <c r="G139" s="56">
        <v>4</v>
      </c>
      <c r="H139" s="57" t="s">
        <v>18</v>
      </c>
      <c r="I139" s="58" t="s">
        <v>128</v>
      </c>
      <c r="J139" s="72" t="str">
        <f t="shared" si="2"/>
        <v>Normal</v>
      </c>
    </row>
    <row r="140" spans="1:10">
      <c r="A140" s="52" t="s">
        <v>262</v>
      </c>
      <c r="B140" s="53" t="s">
        <v>40</v>
      </c>
      <c r="C140" s="53" t="s">
        <v>16</v>
      </c>
      <c r="D140" s="53" t="s">
        <v>17</v>
      </c>
      <c r="E140" s="54">
        <v>84968</v>
      </c>
      <c r="F140" s="55">
        <v>42967</v>
      </c>
      <c r="G140" s="56">
        <v>3.0909090909090908</v>
      </c>
      <c r="H140" s="57" t="s">
        <v>12</v>
      </c>
      <c r="I140" s="58" t="s">
        <v>263</v>
      </c>
      <c r="J140" s="72" t="str">
        <f t="shared" si="2"/>
        <v>High Salary</v>
      </c>
    </row>
    <row r="141" spans="1:10">
      <c r="A141" s="52" t="s">
        <v>264</v>
      </c>
      <c r="B141" s="53" t="s">
        <v>40</v>
      </c>
      <c r="C141" s="53" t="s">
        <v>41</v>
      </c>
      <c r="D141" s="53" t="s">
        <v>63</v>
      </c>
      <c r="E141" s="54">
        <v>84750</v>
      </c>
      <c r="F141" s="55">
        <v>42974</v>
      </c>
      <c r="G141" s="56">
        <v>4</v>
      </c>
      <c r="H141" s="57" t="s">
        <v>35</v>
      </c>
      <c r="I141" s="58" t="s">
        <v>59</v>
      </c>
      <c r="J141" s="72" t="str">
        <f t="shared" si="2"/>
        <v>High Salary</v>
      </c>
    </row>
    <row r="142" spans="1:10">
      <c r="A142" s="52" t="s">
        <v>265</v>
      </c>
      <c r="B142" s="53" t="s">
        <v>53</v>
      </c>
      <c r="C142" s="53" t="s">
        <v>33</v>
      </c>
      <c r="D142" s="53" t="s">
        <v>12</v>
      </c>
      <c r="E142" s="54">
        <v>73348</v>
      </c>
      <c r="F142" s="55">
        <v>42981</v>
      </c>
      <c r="G142" s="56">
        <v>2</v>
      </c>
      <c r="H142" s="57" t="s">
        <v>12</v>
      </c>
      <c r="I142" s="58" t="s">
        <v>170</v>
      </c>
      <c r="J142" s="72" t="str">
        <f t="shared" si="2"/>
        <v>Normal</v>
      </c>
    </row>
    <row r="143" spans="1:10">
      <c r="A143" s="52" t="s">
        <v>266</v>
      </c>
      <c r="B143" s="53" t="s">
        <v>40</v>
      </c>
      <c r="C143" s="53" t="s">
        <v>25</v>
      </c>
      <c r="D143" s="53" t="s">
        <v>26</v>
      </c>
      <c r="E143" s="54">
        <v>73697</v>
      </c>
      <c r="F143" s="55">
        <v>42988</v>
      </c>
      <c r="G143" s="56">
        <v>4</v>
      </c>
      <c r="H143" s="57" t="s">
        <v>18</v>
      </c>
      <c r="I143" s="58" t="s">
        <v>12</v>
      </c>
      <c r="J143" s="72" t="str">
        <f t="shared" si="2"/>
        <v>Normal</v>
      </c>
    </row>
    <row r="144" spans="1:10">
      <c r="A144" s="52" t="s">
        <v>267</v>
      </c>
      <c r="B144" s="53" t="s">
        <v>30</v>
      </c>
      <c r="C144" s="53" t="s">
        <v>41</v>
      </c>
      <c r="D144" s="53" t="s">
        <v>26</v>
      </c>
      <c r="E144" s="54">
        <v>66882</v>
      </c>
      <c r="F144" s="55">
        <v>42995</v>
      </c>
      <c r="G144" s="56">
        <v>5</v>
      </c>
      <c r="H144" s="57" t="s">
        <v>18</v>
      </c>
      <c r="I144" s="58" t="s">
        <v>84</v>
      </c>
      <c r="J144" s="72" t="str">
        <f t="shared" si="2"/>
        <v>Normal</v>
      </c>
    </row>
    <row r="145" spans="1:10">
      <c r="A145" s="52" t="s">
        <v>268</v>
      </c>
      <c r="B145" s="53" t="s">
        <v>21</v>
      </c>
      <c r="C145" s="67" t="s">
        <v>41</v>
      </c>
      <c r="D145" s="53" t="s">
        <v>12</v>
      </c>
      <c r="E145" s="54">
        <v>86775</v>
      </c>
      <c r="F145" s="55">
        <v>43002</v>
      </c>
      <c r="G145" s="56">
        <v>3</v>
      </c>
      <c r="H145" s="57" t="s">
        <v>18</v>
      </c>
      <c r="I145" s="58" t="s">
        <v>94</v>
      </c>
      <c r="J145" s="72" t="str">
        <f t="shared" si="2"/>
        <v>High Salary</v>
      </c>
    </row>
    <row r="146" spans="1:10">
      <c r="A146" s="52" t="s">
        <v>269</v>
      </c>
      <c r="B146" s="53" t="s">
        <v>40</v>
      </c>
      <c r="C146" s="53" t="s">
        <v>25</v>
      </c>
      <c r="D146" s="53" t="s">
        <v>46</v>
      </c>
      <c r="E146" s="54">
        <v>91620</v>
      </c>
      <c r="F146" s="55">
        <v>43009</v>
      </c>
      <c r="G146" s="56">
        <v>2.6666666666666665</v>
      </c>
      <c r="H146" s="57" t="s">
        <v>12</v>
      </c>
      <c r="I146" s="58" t="s">
        <v>270</v>
      </c>
      <c r="J146" s="72" t="str">
        <f t="shared" si="2"/>
        <v>High Salary</v>
      </c>
    </row>
    <row r="147" spans="1:10">
      <c r="A147" s="52" t="s">
        <v>271</v>
      </c>
      <c r="B147" s="67" t="s">
        <v>15</v>
      </c>
      <c r="C147" s="53" t="s">
        <v>12</v>
      </c>
      <c r="D147" s="53" t="s">
        <v>12</v>
      </c>
      <c r="E147" s="54">
        <v>94148</v>
      </c>
      <c r="F147" s="55">
        <v>43016</v>
      </c>
      <c r="G147" s="56">
        <v>2</v>
      </c>
      <c r="H147" s="57" t="s">
        <v>12</v>
      </c>
      <c r="I147" s="58" t="s">
        <v>272</v>
      </c>
      <c r="J147" s="72" t="str">
        <f t="shared" si="2"/>
        <v>High Salary</v>
      </c>
    </row>
    <row r="148" spans="1:10">
      <c r="A148" s="52" t="s">
        <v>273</v>
      </c>
      <c r="B148" s="53" t="s">
        <v>38</v>
      </c>
      <c r="C148" s="53" t="s">
        <v>25</v>
      </c>
      <c r="D148" s="53" t="s">
        <v>63</v>
      </c>
      <c r="E148" s="54">
        <v>35627</v>
      </c>
      <c r="F148" s="55">
        <v>43023</v>
      </c>
      <c r="G148" s="56">
        <v>5</v>
      </c>
      <c r="H148" s="57" t="s">
        <v>35</v>
      </c>
      <c r="I148" s="58" t="s">
        <v>257</v>
      </c>
      <c r="J148" s="72" t="str">
        <f t="shared" si="2"/>
        <v>Normal</v>
      </c>
    </row>
    <row r="149" spans="1:10">
      <c r="A149" s="52" t="s">
        <v>274</v>
      </c>
      <c r="B149" s="53" t="s">
        <v>24</v>
      </c>
      <c r="C149" s="53" t="s">
        <v>41</v>
      </c>
      <c r="D149" s="53" t="s">
        <v>26</v>
      </c>
      <c r="E149" s="54">
        <v>57141</v>
      </c>
      <c r="F149" s="55">
        <v>43030</v>
      </c>
      <c r="G149" s="56">
        <v>2</v>
      </c>
      <c r="H149" s="57" t="s">
        <v>12</v>
      </c>
      <c r="I149" s="58" t="s">
        <v>263</v>
      </c>
      <c r="J149" s="72" t="str">
        <f t="shared" si="2"/>
        <v>Normal</v>
      </c>
    </row>
    <row r="150" spans="1:10">
      <c r="A150" s="52" t="s">
        <v>275</v>
      </c>
      <c r="B150" s="53" t="s">
        <v>53</v>
      </c>
      <c r="C150" s="53" t="s">
        <v>25</v>
      </c>
      <c r="D150" s="53" t="s">
        <v>63</v>
      </c>
      <c r="E150" s="54">
        <v>65270</v>
      </c>
      <c r="F150" s="55">
        <v>43037</v>
      </c>
      <c r="G150" s="56">
        <v>1</v>
      </c>
      <c r="H150" s="57" t="s">
        <v>12</v>
      </c>
      <c r="I150" s="58" t="s">
        <v>276</v>
      </c>
      <c r="J150" s="72" t="str">
        <f t="shared" si="2"/>
        <v>Normal</v>
      </c>
    </row>
    <row r="151" spans="1:10">
      <c r="A151" s="52" t="s">
        <v>277</v>
      </c>
      <c r="B151" s="67" t="s">
        <v>53</v>
      </c>
      <c r="C151" s="53" t="s">
        <v>12</v>
      </c>
      <c r="D151" s="53" t="s">
        <v>46</v>
      </c>
      <c r="E151" s="54">
        <v>67335</v>
      </c>
      <c r="F151" s="55">
        <v>43044</v>
      </c>
      <c r="G151" s="56">
        <v>1</v>
      </c>
      <c r="H151" s="57" t="s">
        <v>18</v>
      </c>
      <c r="I151" s="58" t="s">
        <v>143</v>
      </c>
      <c r="J151" s="72" t="str">
        <f t="shared" si="2"/>
        <v>Normal</v>
      </c>
    </row>
    <row r="152" spans="1:10">
      <c r="A152" s="52" t="s">
        <v>278</v>
      </c>
      <c r="B152" s="53" t="s">
        <v>38</v>
      </c>
      <c r="C152" s="53" t="s">
        <v>41</v>
      </c>
      <c r="D152" s="53" t="s">
        <v>34</v>
      </c>
      <c r="E152" s="54">
        <v>98475</v>
      </c>
      <c r="F152" s="55">
        <v>43051</v>
      </c>
      <c r="G152" s="56">
        <v>5</v>
      </c>
      <c r="H152" s="57" t="s">
        <v>18</v>
      </c>
      <c r="I152" s="58" t="s">
        <v>279</v>
      </c>
      <c r="J152" s="72" t="str">
        <f t="shared" si="2"/>
        <v>High Salary</v>
      </c>
    </row>
    <row r="153" spans="1:10">
      <c r="B153" s="5"/>
      <c r="I153" s="51"/>
    </row>
  </sheetData>
  <mergeCells count="22">
    <mergeCell ref="M7:M8"/>
    <mergeCell ref="N7:N8"/>
    <mergeCell ref="K9:K10"/>
    <mergeCell ref="L9:L10"/>
    <mergeCell ref="M9:M10"/>
    <mergeCell ref="N9:N10"/>
    <mergeCell ref="K15:K16"/>
    <mergeCell ref="L15:L16"/>
    <mergeCell ref="M15:M16"/>
    <mergeCell ref="N15:N16"/>
    <mergeCell ref="A1:O1"/>
    <mergeCell ref="K11:K12"/>
    <mergeCell ref="L11:L12"/>
    <mergeCell ref="M11:M12"/>
    <mergeCell ref="N11:N12"/>
    <mergeCell ref="K13:K14"/>
    <mergeCell ref="L13:L14"/>
    <mergeCell ref="M13:M14"/>
    <mergeCell ref="N13:N14"/>
    <mergeCell ref="K4:N5"/>
    <mergeCell ref="K7:K8"/>
    <mergeCell ref="L7:L8"/>
  </mergeCell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41C619-6A3E-4669-AA9B-D55CA4093859}">
  <dimension ref="A1:U152"/>
  <sheetViews>
    <sheetView topLeftCell="C1" workbookViewId="0">
      <selection activeCell="M16" sqref="M16"/>
    </sheetView>
  </sheetViews>
  <sheetFormatPr defaultRowHeight="14.4"/>
  <cols>
    <col min="1" max="1" width="13.109375" customWidth="1"/>
    <col min="2" max="2" width="10.88671875" customWidth="1"/>
    <col min="3" max="3" width="11.88671875" customWidth="1"/>
    <col min="4" max="4" width="12.21875" customWidth="1"/>
    <col min="5" max="5" width="13.109375" customWidth="1"/>
    <col min="6" max="6" width="14" customWidth="1"/>
    <col min="7" max="7" width="17.44140625" customWidth="1"/>
    <col min="8" max="8" width="12" customWidth="1"/>
    <col min="9" max="9" width="24.88671875" customWidth="1"/>
    <col min="10" max="10" width="16.21875" customWidth="1"/>
    <col min="12" max="12" width="12.21875" customWidth="1"/>
    <col min="13" max="13" width="25.44140625" customWidth="1"/>
    <col min="14" max="14" width="13.21875" customWidth="1"/>
    <col min="15" max="15" width="15.88671875" customWidth="1"/>
  </cols>
  <sheetData>
    <row r="1" spans="1:21" ht="26.4" customHeight="1">
      <c r="B1" s="187" t="s">
        <v>302</v>
      </c>
      <c r="C1" s="187"/>
      <c r="D1" s="187"/>
      <c r="E1" s="187"/>
      <c r="F1" s="187"/>
      <c r="G1" s="187"/>
      <c r="H1" s="187"/>
      <c r="I1" s="187"/>
      <c r="J1" s="187"/>
      <c r="K1" s="187"/>
      <c r="L1" s="187"/>
      <c r="M1" s="187"/>
      <c r="N1" s="187"/>
      <c r="O1" s="187"/>
      <c r="P1" s="187"/>
      <c r="Q1" s="187"/>
      <c r="R1" s="187"/>
      <c r="S1" s="187"/>
      <c r="T1" s="187"/>
      <c r="U1" s="187"/>
    </row>
    <row r="2" spans="1:21" ht="20.399999999999999" customHeight="1">
      <c r="A2" s="79" t="s">
        <v>0</v>
      </c>
      <c r="B2" s="80" t="s">
        <v>1</v>
      </c>
      <c r="C2" s="80" t="s">
        <v>2</v>
      </c>
      <c r="D2" s="80" t="s">
        <v>3</v>
      </c>
      <c r="E2" s="81" t="s">
        <v>4</v>
      </c>
      <c r="F2" s="82" t="s">
        <v>5</v>
      </c>
      <c r="G2" s="83" t="s">
        <v>6</v>
      </c>
      <c r="H2" s="80" t="s">
        <v>7</v>
      </c>
      <c r="I2" s="73" t="s">
        <v>8</v>
      </c>
      <c r="J2" s="73" t="s">
        <v>287</v>
      </c>
    </row>
    <row r="3" spans="1:21">
      <c r="A3" s="52" t="s">
        <v>9</v>
      </c>
      <c r="B3" s="53" t="s">
        <v>12</v>
      </c>
      <c r="C3" s="53" t="s">
        <v>10</v>
      </c>
      <c r="D3" s="53" t="s">
        <v>12</v>
      </c>
      <c r="E3" s="54">
        <v>66280.929577464791</v>
      </c>
      <c r="F3" s="55" t="s">
        <v>12</v>
      </c>
      <c r="G3" s="56">
        <v>2</v>
      </c>
      <c r="H3" s="57" t="s">
        <v>12</v>
      </c>
      <c r="I3" s="58" t="s">
        <v>12</v>
      </c>
      <c r="J3" s="72" t="str">
        <f>IF(E3&gt;80000,"High Salary", "Normal")</f>
        <v>Normal</v>
      </c>
    </row>
    <row r="4" spans="1:21" ht="16.8" customHeight="1">
      <c r="A4" s="52" t="s">
        <v>14</v>
      </c>
      <c r="B4" s="53" t="s">
        <v>15</v>
      </c>
      <c r="C4" s="53" t="s">
        <v>16</v>
      </c>
      <c r="D4" s="53" t="s">
        <v>17</v>
      </c>
      <c r="E4" s="54">
        <v>54255</v>
      </c>
      <c r="F4" s="55">
        <v>42015</v>
      </c>
      <c r="G4" s="56">
        <v>1</v>
      </c>
      <c r="H4" s="57" t="s">
        <v>18</v>
      </c>
      <c r="I4" s="58" t="s">
        <v>19</v>
      </c>
      <c r="J4" s="72" t="str">
        <f t="shared" ref="J4:J67" si="0">IF(E4&gt;80000,"High Salary", "Normal")</f>
        <v>Normal</v>
      </c>
      <c r="L4" s="188" t="s">
        <v>303</v>
      </c>
      <c r="M4" s="188" t="s">
        <v>290</v>
      </c>
      <c r="N4" s="188" t="s">
        <v>291</v>
      </c>
      <c r="O4" s="188" t="s">
        <v>304</v>
      </c>
    </row>
    <row r="5" spans="1:21">
      <c r="A5" s="52" t="s">
        <v>20</v>
      </c>
      <c r="B5" s="53" t="s">
        <v>21</v>
      </c>
      <c r="C5" s="53" t="s">
        <v>10</v>
      </c>
      <c r="D5" s="53" t="s">
        <v>17</v>
      </c>
      <c r="E5" s="54">
        <v>63184</v>
      </c>
      <c r="F5" s="55">
        <v>42022</v>
      </c>
      <c r="G5" s="56">
        <v>2</v>
      </c>
      <c r="H5" s="57" t="s">
        <v>12</v>
      </c>
      <c r="I5" s="58" t="s">
        <v>22</v>
      </c>
      <c r="J5" s="72" t="str">
        <f t="shared" si="0"/>
        <v>Normal</v>
      </c>
      <c r="L5" s="189"/>
      <c r="M5" s="189"/>
      <c r="N5" s="189"/>
      <c r="O5" s="189"/>
    </row>
    <row r="6" spans="1:21" ht="16.8" customHeight="1">
      <c r="A6" s="52" t="s">
        <v>23</v>
      </c>
      <c r="B6" s="53" t="s">
        <v>24</v>
      </c>
      <c r="C6" s="53" t="s">
        <v>25</v>
      </c>
      <c r="D6" s="53" t="s">
        <v>26</v>
      </c>
      <c r="E6" s="54">
        <v>94406</v>
      </c>
      <c r="F6" s="55">
        <v>42029</v>
      </c>
      <c r="G6" s="56">
        <v>1</v>
      </c>
      <c r="H6" s="57" t="s">
        <v>27</v>
      </c>
      <c r="I6" s="58" t="s">
        <v>28</v>
      </c>
      <c r="J6" s="72" t="str">
        <f t="shared" si="0"/>
        <v>High Salary</v>
      </c>
      <c r="L6" s="75" t="s">
        <v>1</v>
      </c>
      <c r="M6" s="76" t="s">
        <v>318</v>
      </c>
      <c r="N6" s="75" t="s">
        <v>305</v>
      </c>
      <c r="O6" s="75" t="str">
        <f>PROPER(B8)</f>
        <v>Alice Brown</v>
      </c>
    </row>
    <row r="7" spans="1:21" ht="15.6" customHeight="1">
      <c r="A7" s="52" t="s">
        <v>29</v>
      </c>
      <c r="B7" s="53" t="s">
        <v>30</v>
      </c>
      <c r="C7" s="53" t="s">
        <v>25</v>
      </c>
      <c r="D7" s="53" t="s">
        <v>17</v>
      </c>
      <c r="E7" s="54">
        <v>64120</v>
      </c>
      <c r="F7" s="55">
        <v>42036</v>
      </c>
      <c r="G7" s="56">
        <v>1</v>
      </c>
      <c r="H7" s="57" t="s">
        <v>27</v>
      </c>
      <c r="I7" s="58" t="s">
        <v>31</v>
      </c>
      <c r="J7" s="72" t="str">
        <f t="shared" si="0"/>
        <v>Normal</v>
      </c>
      <c r="L7" s="75" t="s">
        <v>2</v>
      </c>
      <c r="M7" s="76" t="s">
        <v>314</v>
      </c>
      <c r="N7" s="77" t="s">
        <v>306</v>
      </c>
      <c r="O7" s="75" t="str">
        <f>UPPER(C12)</f>
        <v>HR</v>
      </c>
    </row>
    <row r="8" spans="1:21" ht="18" customHeight="1">
      <c r="A8" s="52" t="s">
        <v>32</v>
      </c>
      <c r="B8" s="53" t="s">
        <v>21</v>
      </c>
      <c r="C8" s="53" t="s">
        <v>33</v>
      </c>
      <c r="D8" s="53" t="s">
        <v>34</v>
      </c>
      <c r="E8" s="54">
        <v>78421</v>
      </c>
      <c r="F8" s="55">
        <v>42043</v>
      </c>
      <c r="G8" s="56">
        <v>2</v>
      </c>
      <c r="H8" s="57" t="s">
        <v>35</v>
      </c>
      <c r="I8" s="58" t="s">
        <v>36</v>
      </c>
      <c r="J8" s="72" t="str">
        <f t="shared" si="0"/>
        <v>Normal</v>
      </c>
      <c r="L8" s="75" t="s">
        <v>3</v>
      </c>
      <c r="M8" s="76" t="s">
        <v>315</v>
      </c>
      <c r="N8" s="77" t="s">
        <v>307</v>
      </c>
      <c r="O8" s="75" t="str">
        <f>LOWER(D6)</f>
        <v>usa</v>
      </c>
    </row>
    <row r="9" spans="1:21" ht="19.2" customHeight="1">
      <c r="A9" s="52" t="s">
        <v>37</v>
      </c>
      <c r="B9" s="53" t="s">
        <v>38</v>
      </c>
      <c r="C9" s="53" t="s">
        <v>25</v>
      </c>
      <c r="D9" s="53" t="s">
        <v>12</v>
      </c>
      <c r="E9" s="54">
        <v>67721</v>
      </c>
      <c r="F9" s="55">
        <v>42050</v>
      </c>
      <c r="G9" s="56">
        <v>2.9411764705882355</v>
      </c>
      <c r="H9" s="57" t="s">
        <v>27</v>
      </c>
      <c r="I9" s="58" t="s">
        <v>28</v>
      </c>
      <c r="J9" s="72" t="str">
        <f t="shared" si="0"/>
        <v>Normal</v>
      </c>
      <c r="L9" s="75" t="s">
        <v>8</v>
      </c>
      <c r="M9" s="76" t="s">
        <v>316</v>
      </c>
      <c r="N9" s="77" t="s">
        <v>308</v>
      </c>
      <c r="O9" s="75" t="str">
        <f>LEFT(I4,"7")</f>
        <v>user106</v>
      </c>
    </row>
    <row r="10" spans="1:21" ht="16.2" customHeight="1">
      <c r="A10" s="52" t="s">
        <v>39</v>
      </c>
      <c r="B10" s="53" t="s">
        <v>40</v>
      </c>
      <c r="C10" s="67" t="s">
        <v>41</v>
      </c>
      <c r="D10" s="53" t="s">
        <v>12</v>
      </c>
      <c r="E10" s="54">
        <v>35364</v>
      </c>
      <c r="F10" s="55">
        <v>42057</v>
      </c>
      <c r="G10" s="56">
        <v>2</v>
      </c>
      <c r="H10" s="57" t="s">
        <v>18</v>
      </c>
      <c r="I10" s="58" t="s">
        <v>42</v>
      </c>
      <c r="J10" s="72" t="str">
        <f t="shared" si="0"/>
        <v>Normal</v>
      </c>
      <c r="L10" s="75" t="s">
        <v>1</v>
      </c>
      <c r="M10" s="76" t="s">
        <v>317</v>
      </c>
      <c r="N10" s="77" t="s">
        <v>309</v>
      </c>
      <c r="O10" s="75" t="str">
        <f>RIGHT(B7,"5")</f>
        <v>Smith</v>
      </c>
    </row>
    <row r="11" spans="1:21" ht="15.6" customHeight="1">
      <c r="A11" s="52" t="s">
        <v>43</v>
      </c>
      <c r="B11" s="53" t="s">
        <v>21</v>
      </c>
      <c r="C11" s="53" t="s">
        <v>33</v>
      </c>
      <c r="D11" s="53" t="s">
        <v>17</v>
      </c>
      <c r="E11" s="54">
        <v>97881</v>
      </c>
      <c r="F11" s="55">
        <v>42064</v>
      </c>
      <c r="G11" s="56">
        <v>2.9491525423728815</v>
      </c>
      <c r="H11" s="57" t="s">
        <v>35</v>
      </c>
      <c r="I11" s="58" t="s">
        <v>44</v>
      </c>
      <c r="J11" s="72" t="str">
        <f t="shared" si="0"/>
        <v>High Salary</v>
      </c>
      <c r="L11" s="75" t="s">
        <v>8</v>
      </c>
      <c r="M11" s="76" t="s">
        <v>313</v>
      </c>
      <c r="N11" s="77" t="s">
        <v>310</v>
      </c>
      <c r="O11" s="75" t="str">
        <f>MID(I13,7,1)</f>
        <v>@</v>
      </c>
    </row>
    <row r="12" spans="1:21" ht="16.8" customHeight="1">
      <c r="A12" s="52" t="s">
        <v>45</v>
      </c>
      <c r="B12" s="53" t="s">
        <v>40</v>
      </c>
      <c r="C12" s="53" t="s">
        <v>16</v>
      </c>
      <c r="D12" s="53" t="s">
        <v>46</v>
      </c>
      <c r="E12" s="54">
        <v>91846</v>
      </c>
      <c r="F12" s="55">
        <v>42071</v>
      </c>
      <c r="G12" s="56">
        <v>2.9491525423728815</v>
      </c>
      <c r="H12" s="57" t="s">
        <v>27</v>
      </c>
      <c r="I12" s="58" t="s">
        <v>47</v>
      </c>
      <c r="J12" s="72" t="str">
        <f t="shared" si="0"/>
        <v>High Salary</v>
      </c>
      <c r="L12" s="75" t="s">
        <v>1</v>
      </c>
      <c r="M12" s="76" t="s">
        <v>312</v>
      </c>
      <c r="N12" s="77" t="s">
        <v>311</v>
      </c>
      <c r="O12" s="75" t="str">
        <f>TRIM(B13)</f>
        <v>Sam Wilson</v>
      </c>
    </row>
    <row r="13" spans="1:21">
      <c r="A13" s="52" t="s">
        <v>48</v>
      </c>
      <c r="B13" s="53" t="s">
        <v>38</v>
      </c>
      <c r="C13" s="53" t="s">
        <v>10</v>
      </c>
      <c r="D13" s="53" t="s">
        <v>46</v>
      </c>
      <c r="E13" s="54">
        <v>64247</v>
      </c>
      <c r="F13" s="55">
        <v>42078</v>
      </c>
      <c r="G13" s="56">
        <v>1</v>
      </c>
      <c r="H13" s="57" t="s">
        <v>35</v>
      </c>
      <c r="I13" s="58" t="s">
        <v>49</v>
      </c>
      <c r="J13" s="72" t="str">
        <f t="shared" si="0"/>
        <v>Normal</v>
      </c>
      <c r="N13" s="74"/>
    </row>
    <row r="14" spans="1:21">
      <c r="A14" s="52" t="s">
        <v>50</v>
      </c>
      <c r="B14" s="53" t="s">
        <v>38</v>
      </c>
      <c r="C14" s="53" t="s">
        <v>33</v>
      </c>
      <c r="D14" s="53" t="s">
        <v>26</v>
      </c>
      <c r="E14" s="54">
        <v>91180</v>
      </c>
      <c r="F14" s="55">
        <v>42085</v>
      </c>
      <c r="G14" s="56">
        <v>5</v>
      </c>
      <c r="H14" s="57" t="s">
        <v>27</v>
      </c>
      <c r="I14" s="58" t="s">
        <v>51</v>
      </c>
      <c r="J14" s="72" t="str">
        <f t="shared" si="0"/>
        <v>High Salary</v>
      </c>
    </row>
    <row r="15" spans="1:21">
      <c r="A15" s="52" t="s">
        <v>52</v>
      </c>
      <c r="B15" s="53" t="s">
        <v>53</v>
      </c>
      <c r="C15" s="53" t="s">
        <v>25</v>
      </c>
      <c r="D15" s="53" t="s">
        <v>12</v>
      </c>
      <c r="E15" s="54">
        <v>96418</v>
      </c>
      <c r="F15" s="55">
        <v>42092</v>
      </c>
      <c r="G15" s="56">
        <v>5</v>
      </c>
      <c r="H15" s="57" t="s">
        <v>27</v>
      </c>
      <c r="I15" s="58" t="s">
        <v>19</v>
      </c>
      <c r="J15" s="72" t="str">
        <f t="shared" si="0"/>
        <v>High Salary</v>
      </c>
    </row>
    <row r="16" spans="1:21">
      <c r="A16" s="52" t="s">
        <v>54</v>
      </c>
      <c r="B16" s="67" t="s">
        <v>38</v>
      </c>
      <c r="C16" s="53" t="s">
        <v>12</v>
      </c>
      <c r="D16" s="53" t="s">
        <v>34</v>
      </c>
      <c r="E16" s="54">
        <v>62158</v>
      </c>
      <c r="F16" s="55">
        <v>42099</v>
      </c>
      <c r="G16" s="56">
        <v>4</v>
      </c>
      <c r="H16" s="57" t="s">
        <v>12</v>
      </c>
      <c r="I16" s="58" t="s">
        <v>55</v>
      </c>
      <c r="J16" s="72" t="str">
        <f t="shared" si="0"/>
        <v>Normal</v>
      </c>
    </row>
    <row r="17" spans="1:10">
      <c r="A17" s="52" t="s">
        <v>56</v>
      </c>
      <c r="B17" s="53" t="s">
        <v>30</v>
      </c>
      <c r="C17" s="53" t="s">
        <v>16</v>
      </c>
      <c r="D17" s="53" t="s">
        <v>12</v>
      </c>
      <c r="E17" s="54">
        <v>59894</v>
      </c>
      <c r="F17" s="55">
        <v>42106</v>
      </c>
      <c r="G17" s="56">
        <v>2</v>
      </c>
      <c r="H17" s="57" t="s">
        <v>27</v>
      </c>
      <c r="I17" s="58" t="s">
        <v>57</v>
      </c>
      <c r="J17" s="72" t="str">
        <f t="shared" si="0"/>
        <v>Normal</v>
      </c>
    </row>
    <row r="18" spans="1:10">
      <c r="A18" s="52" t="s">
        <v>58</v>
      </c>
      <c r="B18" s="53" t="s">
        <v>12</v>
      </c>
      <c r="C18" s="53" t="s">
        <v>33</v>
      </c>
      <c r="D18" s="53" t="s">
        <v>34</v>
      </c>
      <c r="E18" s="54">
        <v>92443</v>
      </c>
      <c r="F18" s="55">
        <v>42113</v>
      </c>
      <c r="G18" s="56">
        <v>3</v>
      </c>
      <c r="H18" s="57" t="s">
        <v>18</v>
      </c>
      <c r="I18" s="58" t="s">
        <v>59</v>
      </c>
      <c r="J18" s="72" t="str">
        <f t="shared" si="0"/>
        <v>High Salary</v>
      </c>
    </row>
    <row r="19" spans="1:10">
      <c r="A19" s="52" t="s">
        <v>60</v>
      </c>
      <c r="B19" s="67" t="s">
        <v>53</v>
      </c>
      <c r="C19" s="53" t="s">
        <v>12</v>
      </c>
      <c r="D19" s="53" t="s">
        <v>17</v>
      </c>
      <c r="E19" s="54">
        <v>90271</v>
      </c>
      <c r="F19" s="55">
        <v>42120</v>
      </c>
      <c r="G19" s="56">
        <v>2.9285714285714284</v>
      </c>
      <c r="H19" s="57" t="s">
        <v>12</v>
      </c>
      <c r="I19" s="58" t="s">
        <v>61</v>
      </c>
      <c r="J19" s="72" t="str">
        <f t="shared" si="0"/>
        <v>High Salary</v>
      </c>
    </row>
    <row r="20" spans="1:10">
      <c r="A20" s="52" t="s">
        <v>62</v>
      </c>
      <c r="B20" s="53" t="s">
        <v>30</v>
      </c>
      <c r="C20" s="53" t="s">
        <v>10</v>
      </c>
      <c r="D20" s="53" t="s">
        <v>63</v>
      </c>
      <c r="E20" s="54">
        <v>41341</v>
      </c>
      <c r="F20" s="55">
        <v>42127</v>
      </c>
      <c r="G20" s="56">
        <v>1</v>
      </c>
      <c r="H20" s="57" t="s">
        <v>18</v>
      </c>
      <c r="I20" s="58" t="s">
        <v>64</v>
      </c>
      <c r="J20" s="72" t="str">
        <f t="shared" si="0"/>
        <v>Normal</v>
      </c>
    </row>
    <row r="21" spans="1:10">
      <c r="A21" s="52" t="s">
        <v>65</v>
      </c>
      <c r="B21" s="53" t="s">
        <v>21</v>
      </c>
      <c r="C21" s="53" t="s">
        <v>10</v>
      </c>
      <c r="D21" s="53" t="s">
        <v>46</v>
      </c>
      <c r="E21" s="54">
        <v>73602</v>
      </c>
      <c r="F21" s="55">
        <v>42134</v>
      </c>
      <c r="G21" s="56">
        <v>2.9459459459459461</v>
      </c>
      <c r="H21" s="57" t="s">
        <v>12</v>
      </c>
      <c r="I21" s="58" t="s">
        <v>66</v>
      </c>
      <c r="J21" s="72" t="str">
        <f t="shared" si="0"/>
        <v>Normal</v>
      </c>
    </row>
    <row r="22" spans="1:10">
      <c r="A22" s="52" t="s">
        <v>67</v>
      </c>
      <c r="B22" s="67" t="s">
        <v>15</v>
      </c>
      <c r="C22" s="53" t="s">
        <v>12</v>
      </c>
      <c r="D22" s="53" t="s">
        <v>34</v>
      </c>
      <c r="E22" s="54">
        <v>67531</v>
      </c>
      <c r="F22" s="55">
        <v>42141</v>
      </c>
      <c r="G22" s="56">
        <v>5</v>
      </c>
      <c r="H22" s="57" t="s">
        <v>35</v>
      </c>
      <c r="I22" s="58" t="s">
        <v>68</v>
      </c>
      <c r="J22" s="72" t="str">
        <f t="shared" si="0"/>
        <v>Normal</v>
      </c>
    </row>
    <row r="23" spans="1:10">
      <c r="A23" s="52" t="s">
        <v>69</v>
      </c>
      <c r="B23" s="53" t="s">
        <v>30</v>
      </c>
      <c r="C23" s="53" t="s">
        <v>16</v>
      </c>
      <c r="D23" s="53" t="s">
        <v>26</v>
      </c>
      <c r="E23" s="54">
        <v>65248.853658536587</v>
      </c>
      <c r="F23" s="55">
        <v>42148</v>
      </c>
      <c r="G23" s="56">
        <v>2</v>
      </c>
      <c r="H23" s="57" t="s">
        <v>18</v>
      </c>
      <c r="I23" s="58" t="s">
        <v>70</v>
      </c>
      <c r="J23" s="72" t="str">
        <f t="shared" si="0"/>
        <v>Normal</v>
      </c>
    </row>
    <row r="24" spans="1:10">
      <c r="A24" s="52" t="s">
        <v>71</v>
      </c>
      <c r="B24" s="53" t="s">
        <v>30</v>
      </c>
      <c r="C24" s="53" t="s">
        <v>16</v>
      </c>
      <c r="D24" s="53" t="s">
        <v>12</v>
      </c>
      <c r="E24" s="54">
        <v>98922</v>
      </c>
      <c r="F24" s="55">
        <v>42155</v>
      </c>
      <c r="G24" s="56">
        <v>4</v>
      </c>
      <c r="H24" s="57" t="s">
        <v>12</v>
      </c>
      <c r="I24" s="58" t="s">
        <v>72</v>
      </c>
      <c r="J24" s="72" t="str">
        <f t="shared" si="0"/>
        <v>High Salary</v>
      </c>
    </row>
    <row r="25" spans="1:10">
      <c r="A25" s="52" t="s">
        <v>73</v>
      </c>
      <c r="B25" s="53" t="s">
        <v>15</v>
      </c>
      <c r="C25" s="53" t="s">
        <v>10</v>
      </c>
      <c r="D25" s="53" t="s">
        <v>34</v>
      </c>
      <c r="E25" s="54">
        <v>38333</v>
      </c>
      <c r="F25" s="55">
        <v>42162</v>
      </c>
      <c r="G25" s="56">
        <v>5</v>
      </c>
      <c r="H25" s="57" t="s">
        <v>12</v>
      </c>
      <c r="I25" s="58" t="s">
        <v>74</v>
      </c>
      <c r="J25" s="72" t="str">
        <f t="shared" si="0"/>
        <v>Normal</v>
      </c>
    </row>
    <row r="26" spans="1:10">
      <c r="A26" s="52" t="s">
        <v>75</v>
      </c>
      <c r="B26" s="53" t="s">
        <v>21</v>
      </c>
      <c r="C26" s="53" t="s">
        <v>41</v>
      </c>
      <c r="D26" s="53" t="s">
        <v>46</v>
      </c>
      <c r="E26" s="54">
        <v>36515</v>
      </c>
      <c r="F26" s="55">
        <v>42169</v>
      </c>
      <c r="G26" s="56">
        <v>3</v>
      </c>
      <c r="H26" s="57" t="s">
        <v>27</v>
      </c>
      <c r="I26" s="58" t="s">
        <v>76</v>
      </c>
      <c r="J26" s="72" t="str">
        <f t="shared" si="0"/>
        <v>Normal</v>
      </c>
    </row>
    <row r="27" spans="1:10">
      <c r="A27" s="52" t="s">
        <v>77</v>
      </c>
      <c r="B27" s="53" t="s">
        <v>38</v>
      </c>
      <c r="C27" s="53" t="s">
        <v>10</v>
      </c>
      <c r="D27" s="53" t="s">
        <v>12</v>
      </c>
      <c r="E27" s="54">
        <v>91005</v>
      </c>
      <c r="F27" s="55">
        <v>42176</v>
      </c>
      <c r="G27" s="56">
        <v>1</v>
      </c>
      <c r="H27" s="57" t="s">
        <v>18</v>
      </c>
      <c r="I27" s="58" t="s">
        <v>78</v>
      </c>
      <c r="J27" s="72" t="str">
        <f t="shared" si="0"/>
        <v>High Salary</v>
      </c>
    </row>
    <row r="28" spans="1:10">
      <c r="A28" s="52" t="s">
        <v>79</v>
      </c>
      <c r="B28" s="53" t="s">
        <v>40</v>
      </c>
      <c r="C28" s="53" t="s">
        <v>12</v>
      </c>
      <c r="D28" s="53" t="s">
        <v>12</v>
      </c>
      <c r="E28" s="54">
        <v>52272</v>
      </c>
      <c r="F28" s="55">
        <v>42183</v>
      </c>
      <c r="G28" s="56">
        <v>3</v>
      </c>
      <c r="H28" s="57" t="s">
        <v>12</v>
      </c>
      <c r="I28" s="58" t="s">
        <v>80</v>
      </c>
      <c r="J28" s="72" t="str">
        <f t="shared" si="0"/>
        <v>Normal</v>
      </c>
    </row>
    <row r="29" spans="1:10">
      <c r="A29" s="52" t="s">
        <v>81</v>
      </c>
      <c r="B29" s="53" t="s">
        <v>15</v>
      </c>
      <c r="C29" s="53" t="s">
        <v>25</v>
      </c>
      <c r="D29" s="53" t="s">
        <v>17</v>
      </c>
      <c r="E29" s="54">
        <v>76518</v>
      </c>
      <c r="F29" s="55">
        <v>42190</v>
      </c>
      <c r="G29" s="56">
        <v>2</v>
      </c>
      <c r="H29" s="57" t="s">
        <v>35</v>
      </c>
      <c r="I29" s="58" t="s">
        <v>82</v>
      </c>
      <c r="J29" s="72" t="str">
        <f t="shared" si="0"/>
        <v>Normal</v>
      </c>
    </row>
    <row r="30" spans="1:10">
      <c r="A30" s="52" t="s">
        <v>83</v>
      </c>
      <c r="B30" s="53" t="s">
        <v>21</v>
      </c>
      <c r="C30" s="53" t="s">
        <v>33</v>
      </c>
      <c r="D30" s="53" t="s">
        <v>46</v>
      </c>
      <c r="E30" s="54">
        <v>41448</v>
      </c>
      <c r="F30" s="55">
        <v>42197</v>
      </c>
      <c r="G30" s="56">
        <v>3</v>
      </c>
      <c r="H30" s="57" t="s">
        <v>18</v>
      </c>
      <c r="I30" s="58" t="s">
        <v>84</v>
      </c>
      <c r="J30" s="72" t="str">
        <f t="shared" si="0"/>
        <v>Normal</v>
      </c>
    </row>
    <row r="31" spans="1:10">
      <c r="A31" s="52" t="s">
        <v>85</v>
      </c>
      <c r="B31" s="53" t="s">
        <v>24</v>
      </c>
      <c r="C31" s="53" t="s">
        <v>16</v>
      </c>
      <c r="D31" s="53" t="s">
        <v>46</v>
      </c>
      <c r="E31" s="54">
        <v>49282</v>
      </c>
      <c r="F31" s="55">
        <v>42204</v>
      </c>
      <c r="G31" s="56">
        <v>2</v>
      </c>
      <c r="H31" s="57" t="s">
        <v>35</v>
      </c>
      <c r="I31" s="58" t="s">
        <v>86</v>
      </c>
      <c r="J31" s="72" t="str">
        <f t="shared" si="0"/>
        <v>Normal</v>
      </c>
    </row>
    <row r="32" spans="1:10">
      <c r="A32" s="52" t="s">
        <v>87</v>
      </c>
      <c r="B32" s="53" t="s">
        <v>53</v>
      </c>
      <c r="C32" s="53" t="s">
        <v>41</v>
      </c>
      <c r="D32" s="53" t="s">
        <v>46</v>
      </c>
      <c r="E32" s="54">
        <v>92959</v>
      </c>
      <c r="F32" s="55">
        <v>42211</v>
      </c>
      <c r="G32" s="56">
        <v>5</v>
      </c>
      <c r="H32" s="57" t="s">
        <v>12</v>
      </c>
      <c r="I32" s="58" t="s">
        <v>88</v>
      </c>
      <c r="J32" s="72" t="str">
        <f t="shared" si="0"/>
        <v>High Salary</v>
      </c>
    </row>
    <row r="33" spans="1:10">
      <c r="A33" s="52" t="s">
        <v>89</v>
      </c>
      <c r="B33" s="53" t="s">
        <v>12</v>
      </c>
      <c r="C33" s="67" t="s">
        <v>41</v>
      </c>
      <c r="D33" s="53" t="s">
        <v>12</v>
      </c>
      <c r="E33" s="54">
        <v>92259</v>
      </c>
      <c r="F33" s="55" t="s">
        <v>12</v>
      </c>
      <c r="G33" s="56">
        <v>1</v>
      </c>
      <c r="H33" s="57" t="s">
        <v>12</v>
      </c>
      <c r="I33" s="58" t="s">
        <v>90</v>
      </c>
      <c r="J33" s="72" t="str">
        <f t="shared" si="0"/>
        <v>High Salary</v>
      </c>
    </row>
    <row r="34" spans="1:10">
      <c r="A34" s="52" t="s">
        <v>91</v>
      </c>
      <c r="B34" s="53" t="s">
        <v>15</v>
      </c>
      <c r="C34" s="53" t="s">
        <v>16</v>
      </c>
      <c r="D34" s="53" t="s">
        <v>17</v>
      </c>
      <c r="E34" s="54">
        <v>92299</v>
      </c>
      <c r="F34" s="55">
        <v>42225</v>
      </c>
      <c r="G34" s="56">
        <v>3</v>
      </c>
      <c r="H34" s="57" t="s">
        <v>27</v>
      </c>
      <c r="I34" s="58" t="s">
        <v>92</v>
      </c>
      <c r="J34" s="72" t="str">
        <f t="shared" si="0"/>
        <v>High Salary</v>
      </c>
    </row>
    <row r="35" spans="1:10">
      <c r="A35" s="52" t="s">
        <v>93</v>
      </c>
      <c r="B35" s="53" t="s">
        <v>38</v>
      </c>
      <c r="C35" s="53" t="s">
        <v>16</v>
      </c>
      <c r="D35" s="53" t="s">
        <v>12</v>
      </c>
      <c r="E35" s="54">
        <v>95586</v>
      </c>
      <c r="F35" s="55">
        <v>42232</v>
      </c>
      <c r="G35" s="56">
        <v>3</v>
      </c>
      <c r="H35" s="57" t="s">
        <v>18</v>
      </c>
      <c r="I35" s="58" t="s">
        <v>94</v>
      </c>
      <c r="J35" s="72" t="str">
        <f t="shared" si="0"/>
        <v>High Salary</v>
      </c>
    </row>
    <row r="36" spans="1:10">
      <c r="A36" s="52" t="s">
        <v>95</v>
      </c>
      <c r="B36" s="53" t="s">
        <v>40</v>
      </c>
      <c r="C36" s="53" t="s">
        <v>12</v>
      </c>
      <c r="D36" s="53" t="s">
        <v>26</v>
      </c>
      <c r="E36" s="54">
        <v>95367</v>
      </c>
      <c r="F36" s="55">
        <v>42239</v>
      </c>
      <c r="G36" s="56">
        <v>2.9381443298969074</v>
      </c>
      <c r="H36" s="57" t="s">
        <v>27</v>
      </c>
      <c r="I36" s="58" t="s">
        <v>96</v>
      </c>
      <c r="J36" s="72" t="str">
        <f t="shared" si="0"/>
        <v>High Salary</v>
      </c>
    </row>
    <row r="37" spans="1:10">
      <c r="A37" s="52" t="s">
        <v>97</v>
      </c>
      <c r="B37" s="53" t="s">
        <v>24</v>
      </c>
      <c r="C37" s="53" t="s">
        <v>25</v>
      </c>
      <c r="D37" s="53" t="s">
        <v>63</v>
      </c>
      <c r="E37" s="54">
        <v>79549</v>
      </c>
      <c r="F37" s="55">
        <v>42246</v>
      </c>
      <c r="G37" s="56">
        <v>3</v>
      </c>
      <c r="H37" s="57" t="s">
        <v>12</v>
      </c>
      <c r="I37" s="58" t="s">
        <v>98</v>
      </c>
      <c r="J37" s="72" t="str">
        <f t="shared" si="0"/>
        <v>Normal</v>
      </c>
    </row>
    <row r="38" spans="1:10">
      <c r="A38" s="52" t="s">
        <v>99</v>
      </c>
      <c r="B38" s="67" t="s">
        <v>21</v>
      </c>
      <c r="C38" s="53" t="s">
        <v>12</v>
      </c>
      <c r="D38" s="53" t="s">
        <v>46</v>
      </c>
      <c r="E38" s="54">
        <v>54463</v>
      </c>
      <c r="F38" s="55">
        <v>42253</v>
      </c>
      <c r="G38" s="56">
        <v>4</v>
      </c>
      <c r="H38" s="57" t="s">
        <v>27</v>
      </c>
      <c r="I38" s="58" t="s">
        <v>12</v>
      </c>
      <c r="J38" s="72" t="str">
        <f t="shared" si="0"/>
        <v>Normal</v>
      </c>
    </row>
    <row r="39" spans="1:10">
      <c r="A39" s="52" t="s">
        <v>100</v>
      </c>
      <c r="B39" s="53" t="s">
        <v>21</v>
      </c>
      <c r="C39" s="53" t="s">
        <v>33</v>
      </c>
      <c r="D39" s="53" t="s">
        <v>26</v>
      </c>
      <c r="E39" s="54">
        <v>89781</v>
      </c>
      <c r="F39" s="55">
        <v>42260</v>
      </c>
      <c r="G39" s="56">
        <v>2.9263157894736844</v>
      </c>
      <c r="H39" s="57" t="s">
        <v>35</v>
      </c>
      <c r="I39" s="58" t="s">
        <v>101</v>
      </c>
      <c r="J39" s="72" t="str">
        <f t="shared" si="0"/>
        <v>High Salary</v>
      </c>
    </row>
    <row r="40" spans="1:10">
      <c r="A40" s="52" t="s">
        <v>102</v>
      </c>
      <c r="B40" s="53" t="s">
        <v>21</v>
      </c>
      <c r="C40" s="53" t="s">
        <v>16</v>
      </c>
      <c r="D40" s="53" t="s">
        <v>12</v>
      </c>
      <c r="E40" s="54">
        <v>64796</v>
      </c>
      <c r="F40" s="55">
        <v>42267</v>
      </c>
      <c r="G40" s="56">
        <v>2.9263157894736844</v>
      </c>
      <c r="H40" s="57" t="s">
        <v>18</v>
      </c>
      <c r="I40" s="58" t="s">
        <v>103</v>
      </c>
      <c r="J40" s="72" t="str">
        <f t="shared" si="0"/>
        <v>Normal</v>
      </c>
    </row>
    <row r="41" spans="1:10">
      <c r="A41" s="52" t="s">
        <v>104</v>
      </c>
      <c r="B41" s="53" t="s">
        <v>24</v>
      </c>
      <c r="C41" s="53" t="s">
        <v>41</v>
      </c>
      <c r="D41" s="53" t="s">
        <v>46</v>
      </c>
      <c r="E41" s="54">
        <v>52093</v>
      </c>
      <c r="F41" s="55">
        <v>42274</v>
      </c>
      <c r="G41" s="56">
        <v>5</v>
      </c>
      <c r="H41" s="57" t="s">
        <v>12</v>
      </c>
      <c r="I41" s="58" t="s">
        <v>105</v>
      </c>
      <c r="J41" s="72" t="str">
        <f t="shared" si="0"/>
        <v>Normal</v>
      </c>
    </row>
    <row r="42" spans="1:10">
      <c r="A42" s="52" t="s">
        <v>106</v>
      </c>
      <c r="B42" s="53" t="s">
        <v>40</v>
      </c>
      <c r="C42" s="53" t="s">
        <v>16</v>
      </c>
      <c r="D42" s="53" t="s">
        <v>46</v>
      </c>
      <c r="E42" s="54">
        <v>48224</v>
      </c>
      <c r="F42" s="55">
        <v>42281</v>
      </c>
      <c r="G42" s="56">
        <v>3</v>
      </c>
      <c r="H42" s="57" t="s">
        <v>12</v>
      </c>
      <c r="I42" s="58" t="s">
        <v>107</v>
      </c>
      <c r="J42" s="72" t="str">
        <f t="shared" si="0"/>
        <v>Normal</v>
      </c>
    </row>
    <row r="43" spans="1:10">
      <c r="A43" s="52" t="s">
        <v>108</v>
      </c>
      <c r="B43" s="53" t="s">
        <v>53</v>
      </c>
      <c r="C43" s="53" t="s">
        <v>10</v>
      </c>
      <c r="D43" s="53" t="s">
        <v>46</v>
      </c>
      <c r="E43" s="54">
        <v>64268.634615384617</v>
      </c>
      <c r="F43" s="55" t="s">
        <v>12</v>
      </c>
      <c r="G43" s="56">
        <v>4</v>
      </c>
      <c r="H43" s="57" t="s">
        <v>35</v>
      </c>
      <c r="I43" s="58" t="s">
        <v>109</v>
      </c>
      <c r="J43" s="72" t="str">
        <f t="shared" si="0"/>
        <v>Normal</v>
      </c>
    </row>
    <row r="44" spans="1:10">
      <c r="A44" s="52" t="s">
        <v>110</v>
      </c>
      <c r="B44" s="53" t="s">
        <v>21</v>
      </c>
      <c r="C44" s="53" t="s">
        <v>33</v>
      </c>
      <c r="D44" s="53" t="s">
        <v>17</v>
      </c>
      <c r="E44" s="54">
        <v>33956</v>
      </c>
      <c r="F44" s="55">
        <v>42295</v>
      </c>
      <c r="G44" s="56">
        <v>2.8913043478260869</v>
      </c>
      <c r="H44" s="57" t="s">
        <v>12</v>
      </c>
      <c r="I44" s="58" t="s">
        <v>111</v>
      </c>
      <c r="J44" s="72" t="str">
        <f t="shared" si="0"/>
        <v>Normal</v>
      </c>
    </row>
    <row r="45" spans="1:10">
      <c r="A45" s="52" t="s">
        <v>112</v>
      </c>
      <c r="B45" s="67" t="s">
        <v>53</v>
      </c>
      <c r="C45" s="53" t="s">
        <v>12</v>
      </c>
      <c r="D45" s="53" t="s">
        <v>63</v>
      </c>
      <c r="E45" s="54">
        <v>64913</v>
      </c>
      <c r="F45" s="55">
        <v>42302</v>
      </c>
      <c r="G45" s="56">
        <v>1</v>
      </c>
      <c r="H45" s="57" t="s">
        <v>35</v>
      </c>
      <c r="I45" s="58" t="s">
        <v>113</v>
      </c>
      <c r="J45" s="72" t="str">
        <f t="shared" si="0"/>
        <v>Normal</v>
      </c>
    </row>
    <row r="46" spans="1:10">
      <c r="A46" s="52" t="s">
        <v>114</v>
      </c>
      <c r="B46" s="53" t="s">
        <v>21</v>
      </c>
      <c r="C46" s="53" t="s">
        <v>41</v>
      </c>
      <c r="D46" s="53" t="s">
        <v>63</v>
      </c>
      <c r="E46" s="54">
        <v>35326</v>
      </c>
      <c r="F46" s="55">
        <v>42309</v>
      </c>
      <c r="G46" s="56">
        <v>2.912087912087912</v>
      </c>
      <c r="H46" s="57" t="s">
        <v>35</v>
      </c>
      <c r="I46" s="58" t="s">
        <v>115</v>
      </c>
      <c r="J46" s="72" t="str">
        <f t="shared" si="0"/>
        <v>Normal</v>
      </c>
    </row>
    <row r="47" spans="1:10">
      <c r="A47" s="52" t="s">
        <v>116</v>
      </c>
      <c r="B47" s="53" t="s">
        <v>40</v>
      </c>
      <c r="C47" s="53" t="s">
        <v>10</v>
      </c>
      <c r="D47" s="53" t="s">
        <v>12</v>
      </c>
      <c r="E47" s="54">
        <v>81610</v>
      </c>
      <c r="F47" s="55">
        <v>42316</v>
      </c>
      <c r="G47" s="56">
        <v>1</v>
      </c>
      <c r="H47" s="57" t="s">
        <v>12</v>
      </c>
      <c r="I47" s="58" t="s">
        <v>117</v>
      </c>
      <c r="J47" s="72" t="str">
        <f t="shared" si="0"/>
        <v>High Salary</v>
      </c>
    </row>
    <row r="48" spans="1:10">
      <c r="A48" s="52" t="s">
        <v>118</v>
      </c>
      <c r="B48" s="53" t="s">
        <v>12</v>
      </c>
      <c r="C48" s="53" t="s">
        <v>16</v>
      </c>
      <c r="D48" s="53" t="s">
        <v>12</v>
      </c>
      <c r="E48" s="54">
        <v>58962</v>
      </c>
      <c r="F48" s="55">
        <v>42323</v>
      </c>
      <c r="G48" s="56">
        <v>3</v>
      </c>
      <c r="H48" s="57" t="s">
        <v>18</v>
      </c>
      <c r="I48" s="58" t="s">
        <v>19</v>
      </c>
      <c r="J48" s="72" t="str">
        <f t="shared" si="0"/>
        <v>Normal</v>
      </c>
    </row>
    <row r="49" spans="1:10">
      <c r="A49" s="52" t="s">
        <v>119</v>
      </c>
      <c r="B49" s="53" t="s">
        <v>40</v>
      </c>
      <c r="C49" s="53" t="s">
        <v>33</v>
      </c>
      <c r="D49" s="53" t="s">
        <v>17</v>
      </c>
      <c r="E49" s="54">
        <v>92701</v>
      </c>
      <c r="F49" s="55">
        <v>42330</v>
      </c>
      <c r="G49" s="56">
        <v>3</v>
      </c>
      <c r="H49" s="57" t="s">
        <v>18</v>
      </c>
      <c r="I49" s="58" t="s">
        <v>120</v>
      </c>
      <c r="J49" s="72" t="str">
        <f t="shared" si="0"/>
        <v>High Salary</v>
      </c>
    </row>
    <row r="50" spans="1:10">
      <c r="A50" s="52" t="s">
        <v>121</v>
      </c>
      <c r="B50" s="53" t="s">
        <v>40</v>
      </c>
      <c r="C50" s="53" t="s">
        <v>16</v>
      </c>
      <c r="D50" s="53" t="s">
        <v>34</v>
      </c>
      <c r="E50" s="54">
        <v>58245</v>
      </c>
      <c r="F50" s="55">
        <v>42337</v>
      </c>
      <c r="G50" s="56">
        <v>4</v>
      </c>
      <c r="H50" s="57" t="s">
        <v>12</v>
      </c>
      <c r="I50" s="58" t="s">
        <v>122</v>
      </c>
      <c r="J50" s="72" t="str">
        <f t="shared" si="0"/>
        <v>Normal</v>
      </c>
    </row>
    <row r="51" spans="1:10">
      <c r="A51" s="52" t="s">
        <v>123</v>
      </c>
      <c r="B51" s="53" t="s">
        <v>24</v>
      </c>
      <c r="C51" s="53" t="s">
        <v>10</v>
      </c>
      <c r="D51" s="53" t="s">
        <v>12</v>
      </c>
      <c r="E51" s="54">
        <v>66513</v>
      </c>
      <c r="F51" s="55">
        <v>42344</v>
      </c>
      <c r="G51" s="56">
        <v>2</v>
      </c>
      <c r="H51" s="57" t="s">
        <v>18</v>
      </c>
      <c r="I51" s="58" t="s">
        <v>36</v>
      </c>
      <c r="J51" s="72" t="str">
        <f t="shared" si="0"/>
        <v>Normal</v>
      </c>
    </row>
    <row r="52" spans="1:10">
      <c r="A52" s="52" t="s">
        <v>124</v>
      </c>
      <c r="B52" s="53" t="s">
        <v>15</v>
      </c>
      <c r="C52" s="53" t="s">
        <v>16</v>
      </c>
      <c r="D52" s="53" t="s">
        <v>17</v>
      </c>
      <c r="E52" s="54">
        <v>78720</v>
      </c>
      <c r="F52" s="55">
        <v>42351</v>
      </c>
      <c r="G52" s="56">
        <v>5</v>
      </c>
      <c r="H52" s="57" t="s">
        <v>35</v>
      </c>
      <c r="I52" s="58" t="s">
        <v>109</v>
      </c>
      <c r="J52" s="72" t="str">
        <f t="shared" si="0"/>
        <v>Normal</v>
      </c>
    </row>
    <row r="53" spans="1:10">
      <c r="A53" s="52" t="s">
        <v>125</v>
      </c>
      <c r="B53" s="53" t="s">
        <v>40</v>
      </c>
      <c r="C53" s="53" t="s">
        <v>12</v>
      </c>
      <c r="D53" s="53" t="s">
        <v>12</v>
      </c>
      <c r="E53" s="54">
        <v>30686</v>
      </c>
      <c r="F53" s="55" t="s">
        <v>12</v>
      </c>
      <c r="G53" s="56">
        <v>2</v>
      </c>
      <c r="H53" s="57" t="s">
        <v>35</v>
      </c>
      <c r="I53" s="58" t="s">
        <v>126</v>
      </c>
      <c r="J53" s="72" t="str">
        <f t="shared" si="0"/>
        <v>Normal</v>
      </c>
    </row>
    <row r="54" spans="1:10">
      <c r="A54" s="52" t="s">
        <v>127</v>
      </c>
      <c r="B54" s="53" t="s">
        <v>38</v>
      </c>
      <c r="C54" s="53" t="s">
        <v>25</v>
      </c>
      <c r="D54" s="53" t="s">
        <v>34</v>
      </c>
      <c r="E54" s="54">
        <v>39423</v>
      </c>
      <c r="F54" s="55">
        <v>42365</v>
      </c>
      <c r="G54" s="56">
        <v>5</v>
      </c>
      <c r="H54" s="57" t="s">
        <v>12</v>
      </c>
      <c r="I54" s="58" t="s">
        <v>128</v>
      </c>
      <c r="J54" s="72" t="str">
        <f t="shared" si="0"/>
        <v>Normal</v>
      </c>
    </row>
    <row r="55" spans="1:10">
      <c r="A55" s="52" t="s">
        <v>129</v>
      </c>
      <c r="B55" s="53" t="s">
        <v>15</v>
      </c>
      <c r="C55" s="67" t="s">
        <v>41</v>
      </c>
      <c r="D55" s="53" t="s">
        <v>12</v>
      </c>
      <c r="E55" s="54">
        <v>30280</v>
      </c>
      <c r="F55" s="55">
        <v>42372</v>
      </c>
      <c r="G55" s="56">
        <v>1</v>
      </c>
      <c r="H55" s="57" t="s">
        <v>12</v>
      </c>
      <c r="I55" s="58" t="s">
        <v>130</v>
      </c>
      <c r="J55" s="72" t="str">
        <f t="shared" si="0"/>
        <v>Normal</v>
      </c>
    </row>
    <row r="56" spans="1:10">
      <c r="A56" s="52" t="s">
        <v>131</v>
      </c>
      <c r="B56" s="53" t="s">
        <v>15</v>
      </c>
      <c r="C56" s="53" t="s">
        <v>10</v>
      </c>
      <c r="D56" s="53" t="s">
        <v>46</v>
      </c>
      <c r="E56" s="54">
        <v>33352</v>
      </c>
      <c r="F56" s="55">
        <v>42379</v>
      </c>
      <c r="G56" s="56">
        <v>3</v>
      </c>
      <c r="H56" s="57" t="s">
        <v>35</v>
      </c>
      <c r="I56" s="58" t="s">
        <v>70</v>
      </c>
      <c r="J56" s="72" t="str">
        <f t="shared" si="0"/>
        <v>Normal</v>
      </c>
    </row>
    <row r="57" spans="1:10">
      <c r="A57" s="52" t="s">
        <v>132</v>
      </c>
      <c r="B57" s="53" t="s">
        <v>53</v>
      </c>
      <c r="C57" s="53" t="s">
        <v>41</v>
      </c>
      <c r="D57" s="53" t="s">
        <v>46</v>
      </c>
      <c r="E57" s="54">
        <v>75633</v>
      </c>
      <c r="F57" s="55">
        <v>42386</v>
      </c>
      <c r="G57" s="56">
        <v>5</v>
      </c>
      <c r="H57" s="57" t="s">
        <v>18</v>
      </c>
      <c r="I57" s="58" t="s">
        <v>133</v>
      </c>
      <c r="J57" s="72" t="str">
        <f t="shared" si="0"/>
        <v>Normal</v>
      </c>
    </row>
    <row r="58" spans="1:10">
      <c r="A58" s="52" t="s">
        <v>134</v>
      </c>
      <c r="B58" s="53" t="s">
        <v>40</v>
      </c>
      <c r="C58" s="53" t="s">
        <v>12</v>
      </c>
      <c r="D58" s="53" t="s">
        <v>26</v>
      </c>
      <c r="E58" s="54">
        <v>74815</v>
      </c>
      <c r="F58" s="55">
        <v>42393</v>
      </c>
      <c r="G58" s="56">
        <v>5</v>
      </c>
      <c r="H58" s="57" t="s">
        <v>35</v>
      </c>
      <c r="I58" s="58" t="s">
        <v>135</v>
      </c>
      <c r="J58" s="72" t="str">
        <f t="shared" si="0"/>
        <v>Normal</v>
      </c>
    </row>
    <row r="59" spans="1:10">
      <c r="A59" s="52" t="s">
        <v>136</v>
      </c>
      <c r="B59" s="53" t="s">
        <v>24</v>
      </c>
      <c r="C59" s="53" t="s">
        <v>25</v>
      </c>
      <c r="D59" s="53" t="s">
        <v>63</v>
      </c>
      <c r="E59" s="54">
        <v>60011</v>
      </c>
      <c r="F59" s="55">
        <v>42400</v>
      </c>
      <c r="G59" s="56">
        <v>1</v>
      </c>
      <c r="H59" s="57" t="s">
        <v>27</v>
      </c>
      <c r="I59" s="58" t="s">
        <v>137</v>
      </c>
      <c r="J59" s="72" t="str">
        <f t="shared" si="0"/>
        <v>Normal</v>
      </c>
    </row>
    <row r="60" spans="1:10">
      <c r="A60" s="52" t="s">
        <v>138</v>
      </c>
      <c r="B60" s="67" t="s">
        <v>15</v>
      </c>
      <c r="C60" s="53" t="s">
        <v>12</v>
      </c>
      <c r="D60" s="53" t="s">
        <v>34</v>
      </c>
      <c r="E60" s="54">
        <v>96949</v>
      </c>
      <c r="F60" s="55">
        <v>42407</v>
      </c>
      <c r="G60" s="56">
        <v>3</v>
      </c>
      <c r="H60" s="57" t="s">
        <v>12</v>
      </c>
      <c r="I60" s="58" t="s">
        <v>84</v>
      </c>
      <c r="J60" s="72" t="str">
        <f t="shared" si="0"/>
        <v>High Salary</v>
      </c>
    </row>
    <row r="61" spans="1:10">
      <c r="A61" s="52" t="s">
        <v>139</v>
      </c>
      <c r="B61" s="53" t="s">
        <v>38</v>
      </c>
      <c r="C61" s="67" t="s">
        <v>41</v>
      </c>
      <c r="D61" s="53" t="s">
        <v>12</v>
      </c>
      <c r="E61" s="54">
        <v>84924</v>
      </c>
      <c r="F61" s="55">
        <v>42414</v>
      </c>
      <c r="G61" s="56">
        <v>5</v>
      </c>
      <c r="H61" s="57" t="s">
        <v>27</v>
      </c>
      <c r="I61" s="58" t="s">
        <v>140</v>
      </c>
      <c r="J61" s="72" t="str">
        <f t="shared" si="0"/>
        <v>High Salary</v>
      </c>
    </row>
    <row r="62" spans="1:10">
      <c r="A62" s="52" t="s">
        <v>141</v>
      </c>
      <c r="B62" s="53" t="s">
        <v>38</v>
      </c>
      <c r="C62" s="53" t="s">
        <v>10</v>
      </c>
      <c r="D62" s="53" t="s">
        <v>26</v>
      </c>
      <c r="E62" s="54">
        <v>82033</v>
      </c>
      <c r="F62" s="55">
        <v>42421</v>
      </c>
      <c r="G62" s="56">
        <v>1</v>
      </c>
      <c r="H62" s="57" t="s">
        <v>12</v>
      </c>
      <c r="I62" s="58" t="s">
        <v>117</v>
      </c>
      <c r="J62" s="72" t="str">
        <f t="shared" si="0"/>
        <v>High Salary</v>
      </c>
    </row>
    <row r="63" spans="1:10">
      <c r="A63" s="52" t="s">
        <v>142</v>
      </c>
      <c r="B63" s="53" t="s">
        <v>12</v>
      </c>
      <c r="C63" s="53" t="s">
        <v>41</v>
      </c>
      <c r="D63" s="53" t="s">
        <v>17</v>
      </c>
      <c r="E63" s="54">
        <v>64763.364705882355</v>
      </c>
      <c r="F63" s="55" t="s">
        <v>12</v>
      </c>
      <c r="G63" s="56">
        <v>5</v>
      </c>
      <c r="H63" s="57" t="s">
        <v>12</v>
      </c>
      <c r="I63" s="58" t="s">
        <v>143</v>
      </c>
      <c r="J63" s="72" t="str">
        <f t="shared" si="0"/>
        <v>Normal</v>
      </c>
    </row>
    <row r="64" spans="1:10">
      <c r="A64" s="52" t="s">
        <v>144</v>
      </c>
      <c r="B64" s="67" t="s">
        <v>15</v>
      </c>
      <c r="C64" s="53" t="s">
        <v>12</v>
      </c>
      <c r="D64" s="53" t="s">
        <v>63</v>
      </c>
      <c r="E64" s="54">
        <v>31499</v>
      </c>
      <c r="F64" s="55">
        <v>42435</v>
      </c>
      <c r="G64" s="56">
        <v>2</v>
      </c>
      <c r="H64" s="57" t="s">
        <v>12</v>
      </c>
      <c r="I64" s="58" t="s">
        <v>101</v>
      </c>
      <c r="J64" s="72" t="str">
        <f t="shared" si="0"/>
        <v>Normal</v>
      </c>
    </row>
    <row r="65" spans="1:10">
      <c r="A65" s="52" t="s">
        <v>145</v>
      </c>
      <c r="B65" s="53" t="s">
        <v>40</v>
      </c>
      <c r="C65" s="53" t="s">
        <v>33</v>
      </c>
      <c r="D65" s="53" t="s">
        <v>46</v>
      </c>
      <c r="E65" s="54">
        <v>97981</v>
      </c>
      <c r="F65" s="55">
        <v>42442</v>
      </c>
      <c r="G65" s="56">
        <v>5</v>
      </c>
      <c r="H65" s="57" t="s">
        <v>35</v>
      </c>
      <c r="I65" s="58" t="s">
        <v>146</v>
      </c>
      <c r="J65" s="72" t="str">
        <f t="shared" si="0"/>
        <v>High Salary</v>
      </c>
    </row>
    <row r="66" spans="1:10">
      <c r="A66" s="52" t="s">
        <v>147</v>
      </c>
      <c r="B66" s="53" t="s">
        <v>15</v>
      </c>
      <c r="C66" s="53" t="s">
        <v>16</v>
      </c>
      <c r="D66" s="53" t="s">
        <v>26</v>
      </c>
      <c r="E66" s="54">
        <v>36541</v>
      </c>
      <c r="F66" s="55">
        <v>42449</v>
      </c>
      <c r="G66" s="56">
        <v>2</v>
      </c>
      <c r="H66" s="57" t="s">
        <v>18</v>
      </c>
      <c r="I66" s="58" t="s">
        <v>148</v>
      </c>
      <c r="J66" s="72" t="str">
        <f t="shared" si="0"/>
        <v>Normal</v>
      </c>
    </row>
    <row r="67" spans="1:10">
      <c r="A67" s="52" t="s">
        <v>149</v>
      </c>
      <c r="B67" s="53" t="s">
        <v>24</v>
      </c>
      <c r="C67" s="53" t="s">
        <v>33</v>
      </c>
      <c r="D67" s="53" t="s">
        <v>34</v>
      </c>
      <c r="E67" s="54">
        <v>84737</v>
      </c>
      <c r="F67" s="55">
        <v>42456</v>
      </c>
      <c r="G67" s="56">
        <v>1</v>
      </c>
      <c r="H67" s="57" t="s">
        <v>27</v>
      </c>
      <c r="I67" s="58" t="s">
        <v>150</v>
      </c>
      <c r="J67" s="72" t="str">
        <f t="shared" si="0"/>
        <v>High Salary</v>
      </c>
    </row>
    <row r="68" spans="1:10">
      <c r="A68" s="52" t="s">
        <v>151</v>
      </c>
      <c r="B68" s="53" t="s">
        <v>38</v>
      </c>
      <c r="C68" s="53" t="s">
        <v>10</v>
      </c>
      <c r="D68" s="53" t="s">
        <v>34</v>
      </c>
      <c r="E68" s="54">
        <v>33468</v>
      </c>
      <c r="F68" s="55">
        <v>42463</v>
      </c>
      <c r="G68" s="56">
        <v>4</v>
      </c>
      <c r="H68" s="57" t="s">
        <v>27</v>
      </c>
      <c r="I68" s="58" t="s">
        <v>152</v>
      </c>
      <c r="J68" s="72" t="str">
        <f t="shared" ref="J68:J131" si="1">IF(E68&gt;80000,"High Salary", "Normal")</f>
        <v>Normal</v>
      </c>
    </row>
    <row r="69" spans="1:10">
      <c r="A69" s="52" t="s">
        <v>153</v>
      </c>
      <c r="B69" s="67" t="s">
        <v>38</v>
      </c>
      <c r="C69" s="53" t="s">
        <v>12</v>
      </c>
      <c r="D69" s="53" t="s">
        <v>63</v>
      </c>
      <c r="E69" s="54">
        <v>96365</v>
      </c>
      <c r="F69" s="55">
        <v>42470</v>
      </c>
      <c r="G69" s="56">
        <v>3</v>
      </c>
      <c r="H69" s="57" t="s">
        <v>18</v>
      </c>
      <c r="I69" s="58" t="s">
        <v>154</v>
      </c>
      <c r="J69" s="72" t="str">
        <f t="shared" si="1"/>
        <v>High Salary</v>
      </c>
    </row>
    <row r="70" spans="1:10">
      <c r="A70" s="52" t="s">
        <v>155</v>
      </c>
      <c r="B70" s="53" t="s">
        <v>21</v>
      </c>
      <c r="C70" s="53" t="s">
        <v>25</v>
      </c>
      <c r="D70" s="53" t="s">
        <v>34</v>
      </c>
      <c r="E70" s="54">
        <v>61942</v>
      </c>
      <c r="F70" s="55">
        <v>42477</v>
      </c>
      <c r="G70" s="56">
        <v>3</v>
      </c>
      <c r="H70" s="57" t="s">
        <v>35</v>
      </c>
      <c r="I70" s="58" t="s">
        <v>156</v>
      </c>
      <c r="J70" s="72" t="str">
        <f t="shared" si="1"/>
        <v>Normal</v>
      </c>
    </row>
    <row r="71" spans="1:10">
      <c r="A71" s="52" t="s">
        <v>157</v>
      </c>
      <c r="B71" s="53" t="s">
        <v>38</v>
      </c>
      <c r="C71" s="53" t="s">
        <v>10</v>
      </c>
      <c r="D71" s="53" t="s">
        <v>46</v>
      </c>
      <c r="E71" s="54">
        <v>41467</v>
      </c>
      <c r="F71" s="55">
        <v>42484</v>
      </c>
      <c r="G71" s="56">
        <v>2</v>
      </c>
      <c r="H71" s="57" t="s">
        <v>12</v>
      </c>
      <c r="I71" s="58" t="s">
        <v>72</v>
      </c>
      <c r="J71" s="72" t="str">
        <f t="shared" si="1"/>
        <v>Normal</v>
      </c>
    </row>
    <row r="72" spans="1:10">
      <c r="A72" s="52" t="s">
        <v>158</v>
      </c>
      <c r="B72" s="53" t="s">
        <v>53</v>
      </c>
      <c r="C72" s="53" t="s">
        <v>10</v>
      </c>
      <c r="D72" s="53" t="s">
        <v>34</v>
      </c>
      <c r="E72" s="54">
        <v>77096</v>
      </c>
      <c r="F72" s="55">
        <v>42491</v>
      </c>
      <c r="G72" s="56">
        <v>1</v>
      </c>
      <c r="H72" s="57" t="s">
        <v>12</v>
      </c>
      <c r="I72" s="58" t="s">
        <v>159</v>
      </c>
      <c r="J72" s="72" t="str">
        <f t="shared" si="1"/>
        <v>Normal</v>
      </c>
    </row>
    <row r="73" spans="1:10">
      <c r="A73" s="52" t="s">
        <v>160</v>
      </c>
      <c r="B73" s="53" t="s">
        <v>15</v>
      </c>
      <c r="C73" s="53" t="s">
        <v>25</v>
      </c>
      <c r="D73" s="53" t="s">
        <v>63</v>
      </c>
      <c r="E73" s="54">
        <v>69952</v>
      </c>
      <c r="F73" s="55">
        <v>42498</v>
      </c>
      <c r="G73" s="56">
        <v>5</v>
      </c>
      <c r="H73" s="57" t="s">
        <v>35</v>
      </c>
      <c r="I73" s="58" t="s">
        <v>12</v>
      </c>
      <c r="J73" s="72" t="str">
        <f t="shared" si="1"/>
        <v>Normal</v>
      </c>
    </row>
    <row r="74" spans="1:10">
      <c r="A74" s="52" t="s">
        <v>161</v>
      </c>
      <c r="B74" s="53" t="s">
        <v>15</v>
      </c>
      <c r="C74" s="53" t="s">
        <v>41</v>
      </c>
      <c r="D74" s="53" t="s">
        <v>26</v>
      </c>
      <c r="E74" s="54">
        <v>85065</v>
      </c>
      <c r="F74" s="55">
        <v>42505</v>
      </c>
      <c r="G74" s="56">
        <v>3</v>
      </c>
      <c r="H74" s="57" t="s">
        <v>12</v>
      </c>
      <c r="I74" s="58" t="s">
        <v>162</v>
      </c>
      <c r="J74" s="72" t="str">
        <f t="shared" si="1"/>
        <v>High Salary</v>
      </c>
    </row>
    <row r="75" spans="1:10">
      <c r="A75" s="52" t="s">
        <v>163</v>
      </c>
      <c r="B75" s="53" t="s">
        <v>53</v>
      </c>
      <c r="C75" s="53" t="s">
        <v>41</v>
      </c>
      <c r="D75" s="53" t="s">
        <v>34</v>
      </c>
      <c r="E75" s="54">
        <v>56512</v>
      </c>
      <c r="F75" s="55">
        <v>42512</v>
      </c>
      <c r="G75" s="56">
        <v>2.8571428571428572</v>
      </c>
      <c r="H75" s="57" t="s">
        <v>18</v>
      </c>
      <c r="I75" s="58" t="s">
        <v>47</v>
      </c>
      <c r="J75" s="72" t="str">
        <f t="shared" si="1"/>
        <v>Normal</v>
      </c>
    </row>
    <row r="76" spans="1:10">
      <c r="A76" s="52" t="s">
        <v>164</v>
      </c>
      <c r="B76" s="53" t="s">
        <v>24</v>
      </c>
      <c r="C76" s="53" t="s">
        <v>25</v>
      </c>
      <c r="D76" s="53" t="s">
        <v>34</v>
      </c>
      <c r="E76" s="54">
        <v>91101</v>
      </c>
      <c r="F76" s="55">
        <v>42519</v>
      </c>
      <c r="G76" s="56">
        <v>4</v>
      </c>
      <c r="H76" s="57" t="s">
        <v>35</v>
      </c>
      <c r="I76" s="58" t="s">
        <v>146</v>
      </c>
      <c r="J76" s="72" t="str">
        <f t="shared" si="1"/>
        <v>High Salary</v>
      </c>
    </row>
    <row r="77" spans="1:10">
      <c r="A77" s="52" t="s">
        <v>165</v>
      </c>
      <c r="B77" s="67" t="s">
        <v>38</v>
      </c>
      <c r="C77" s="53" t="s">
        <v>12</v>
      </c>
      <c r="D77" s="53" t="s">
        <v>17</v>
      </c>
      <c r="E77" s="54">
        <v>41243</v>
      </c>
      <c r="F77" s="55">
        <v>42526</v>
      </c>
      <c r="G77" s="56">
        <v>2.838709677419355</v>
      </c>
      <c r="H77" s="57" t="s">
        <v>12</v>
      </c>
      <c r="I77" s="58" t="s">
        <v>92</v>
      </c>
      <c r="J77" s="72" t="str">
        <f t="shared" si="1"/>
        <v>Normal</v>
      </c>
    </row>
    <row r="78" spans="1:10">
      <c r="A78" s="52" t="s">
        <v>166</v>
      </c>
      <c r="B78" s="53" t="s">
        <v>12</v>
      </c>
      <c r="C78" s="53" t="s">
        <v>25</v>
      </c>
      <c r="D78" s="53" t="s">
        <v>12</v>
      </c>
      <c r="E78" s="54">
        <v>96142</v>
      </c>
      <c r="F78" s="55">
        <v>42533</v>
      </c>
      <c r="G78" s="56">
        <v>1</v>
      </c>
      <c r="H78" s="57" t="s">
        <v>18</v>
      </c>
      <c r="I78" s="58" t="s">
        <v>167</v>
      </c>
      <c r="J78" s="72" t="str">
        <f t="shared" si="1"/>
        <v>High Salary</v>
      </c>
    </row>
    <row r="79" spans="1:10">
      <c r="A79" s="52" t="s">
        <v>168</v>
      </c>
      <c r="B79" s="53" t="s">
        <v>15</v>
      </c>
      <c r="C79" s="53" t="s">
        <v>33</v>
      </c>
      <c r="D79" s="53" t="s">
        <v>34</v>
      </c>
      <c r="E79" s="54">
        <v>94301</v>
      </c>
      <c r="F79" s="55">
        <v>42540</v>
      </c>
      <c r="G79" s="56">
        <v>1</v>
      </c>
      <c r="H79" s="57" t="s">
        <v>27</v>
      </c>
      <c r="I79" s="58" t="s">
        <v>117</v>
      </c>
      <c r="J79" s="72" t="str">
        <f t="shared" si="1"/>
        <v>High Salary</v>
      </c>
    </row>
    <row r="80" spans="1:10">
      <c r="A80" s="52" t="s">
        <v>169</v>
      </c>
      <c r="B80" s="67" t="s">
        <v>30</v>
      </c>
      <c r="C80" s="53" t="s">
        <v>12</v>
      </c>
      <c r="D80" s="53" t="s">
        <v>46</v>
      </c>
      <c r="E80" s="54">
        <v>69166</v>
      </c>
      <c r="F80" s="55">
        <v>42547</v>
      </c>
      <c r="G80" s="56">
        <v>1</v>
      </c>
      <c r="H80" s="57" t="s">
        <v>35</v>
      </c>
      <c r="I80" s="58" t="s">
        <v>170</v>
      </c>
      <c r="J80" s="72" t="str">
        <f t="shared" si="1"/>
        <v>Normal</v>
      </c>
    </row>
    <row r="81" spans="1:10">
      <c r="A81" s="52" t="s">
        <v>171</v>
      </c>
      <c r="B81" s="67" t="s">
        <v>38</v>
      </c>
      <c r="C81" s="53" t="s">
        <v>12</v>
      </c>
      <c r="D81" s="53" t="s">
        <v>46</v>
      </c>
      <c r="E81" s="54">
        <v>78245</v>
      </c>
      <c r="F81" s="55">
        <v>42554</v>
      </c>
      <c r="G81" s="56">
        <v>2</v>
      </c>
      <c r="H81" s="57" t="s">
        <v>12</v>
      </c>
      <c r="I81" s="58" t="s">
        <v>172</v>
      </c>
      <c r="J81" s="72" t="str">
        <f t="shared" si="1"/>
        <v>Normal</v>
      </c>
    </row>
    <row r="82" spans="1:10">
      <c r="A82" s="52" t="s">
        <v>173</v>
      </c>
      <c r="B82" s="53" t="s">
        <v>40</v>
      </c>
      <c r="C82" s="53" t="s">
        <v>25</v>
      </c>
      <c r="D82" s="53" t="s">
        <v>26</v>
      </c>
      <c r="E82" s="54">
        <v>66079</v>
      </c>
      <c r="F82" s="55">
        <v>42561</v>
      </c>
      <c r="G82" s="56">
        <v>2</v>
      </c>
      <c r="H82" s="57" t="s">
        <v>18</v>
      </c>
      <c r="I82" s="58" t="s">
        <v>174</v>
      </c>
      <c r="J82" s="72" t="str">
        <f t="shared" si="1"/>
        <v>Normal</v>
      </c>
    </row>
    <row r="83" spans="1:10">
      <c r="A83" s="52" t="s">
        <v>175</v>
      </c>
      <c r="B83" s="53" t="s">
        <v>15</v>
      </c>
      <c r="C83" s="53" t="s">
        <v>41</v>
      </c>
      <c r="D83" s="53" t="s">
        <v>34</v>
      </c>
      <c r="E83" s="54">
        <v>63575.515151515152</v>
      </c>
      <c r="F83" s="55" t="s">
        <v>12</v>
      </c>
      <c r="G83" s="56">
        <v>2.9649122807017543</v>
      </c>
      <c r="H83" s="57" t="s">
        <v>12</v>
      </c>
      <c r="I83" s="58" t="s">
        <v>86</v>
      </c>
      <c r="J83" s="72" t="str">
        <f t="shared" si="1"/>
        <v>Normal</v>
      </c>
    </row>
    <row r="84" spans="1:10">
      <c r="A84" s="52" t="s">
        <v>176</v>
      </c>
      <c r="B84" s="53" t="s">
        <v>30</v>
      </c>
      <c r="C84" s="53" t="s">
        <v>25</v>
      </c>
      <c r="D84" s="53" t="s">
        <v>26</v>
      </c>
      <c r="E84" s="54">
        <v>95621</v>
      </c>
      <c r="F84" s="55">
        <v>42575</v>
      </c>
      <c r="G84" s="56">
        <v>3</v>
      </c>
      <c r="H84" s="57" t="s">
        <v>35</v>
      </c>
      <c r="I84" s="58" t="s">
        <v>177</v>
      </c>
      <c r="J84" s="72" t="str">
        <f t="shared" si="1"/>
        <v>High Salary</v>
      </c>
    </row>
    <row r="85" spans="1:10">
      <c r="A85" s="52" t="s">
        <v>178</v>
      </c>
      <c r="B85" s="53" t="s">
        <v>15</v>
      </c>
      <c r="C85" s="53" t="s">
        <v>33</v>
      </c>
      <c r="D85" s="53" t="s">
        <v>46</v>
      </c>
      <c r="E85" s="54">
        <v>42262</v>
      </c>
      <c r="F85" s="55">
        <v>42582</v>
      </c>
      <c r="G85" s="56">
        <v>1</v>
      </c>
      <c r="H85" s="57" t="s">
        <v>12</v>
      </c>
      <c r="I85" s="58" t="s">
        <v>179</v>
      </c>
      <c r="J85" s="72" t="str">
        <f t="shared" si="1"/>
        <v>Normal</v>
      </c>
    </row>
    <row r="86" spans="1:10">
      <c r="A86" s="52" t="s">
        <v>180</v>
      </c>
      <c r="B86" s="53" t="s">
        <v>38</v>
      </c>
      <c r="C86" s="53" t="s">
        <v>25</v>
      </c>
      <c r="D86" s="53" t="s">
        <v>34</v>
      </c>
      <c r="E86" s="54">
        <v>99621</v>
      </c>
      <c r="F86" s="55">
        <v>42589</v>
      </c>
      <c r="G86" s="56">
        <v>3</v>
      </c>
      <c r="H86" s="57" t="s">
        <v>18</v>
      </c>
      <c r="I86" s="58" t="s">
        <v>181</v>
      </c>
      <c r="J86" s="72" t="str">
        <f t="shared" si="1"/>
        <v>High Salary</v>
      </c>
    </row>
    <row r="87" spans="1:10">
      <c r="A87" s="52" t="s">
        <v>182</v>
      </c>
      <c r="B87" s="53" t="s">
        <v>24</v>
      </c>
      <c r="C87" s="53" t="s">
        <v>41</v>
      </c>
      <c r="D87" s="53" t="s">
        <v>34</v>
      </c>
      <c r="E87" s="54">
        <v>44682</v>
      </c>
      <c r="F87" s="55">
        <v>42596</v>
      </c>
      <c r="G87" s="56">
        <v>4</v>
      </c>
      <c r="H87" s="57" t="s">
        <v>35</v>
      </c>
      <c r="I87" s="58" t="s">
        <v>111</v>
      </c>
      <c r="J87" s="72" t="str">
        <f t="shared" si="1"/>
        <v>Normal</v>
      </c>
    </row>
    <row r="88" spans="1:10">
      <c r="A88" s="52" t="s">
        <v>183</v>
      </c>
      <c r="B88" s="53" t="s">
        <v>40</v>
      </c>
      <c r="C88" s="53" t="s">
        <v>10</v>
      </c>
      <c r="D88" s="53" t="s">
        <v>12</v>
      </c>
      <c r="E88" s="54">
        <v>35163</v>
      </c>
      <c r="F88" s="55">
        <v>42603</v>
      </c>
      <c r="G88" s="56">
        <v>5</v>
      </c>
      <c r="H88" s="57" t="s">
        <v>18</v>
      </c>
      <c r="I88" s="58" t="s">
        <v>184</v>
      </c>
      <c r="J88" s="72" t="str">
        <f t="shared" si="1"/>
        <v>Normal</v>
      </c>
    </row>
    <row r="89" spans="1:10">
      <c r="A89" s="52" t="s">
        <v>185</v>
      </c>
      <c r="B89" s="53" t="s">
        <v>40</v>
      </c>
      <c r="C89" s="53" t="s">
        <v>33</v>
      </c>
      <c r="D89" s="53" t="s">
        <v>34</v>
      </c>
      <c r="E89" s="54">
        <v>33483</v>
      </c>
      <c r="F89" s="55">
        <v>42610</v>
      </c>
      <c r="G89" s="56">
        <v>4</v>
      </c>
      <c r="H89" s="57" t="s">
        <v>27</v>
      </c>
      <c r="I89" s="58" t="s">
        <v>186</v>
      </c>
      <c r="J89" s="72" t="str">
        <f t="shared" si="1"/>
        <v>Normal</v>
      </c>
    </row>
    <row r="90" spans="1:10">
      <c r="A90" s="52" t="s">
        <v>187</v>
      </c>
      <c r="B90" s="53" t="s">
        <v>38</v>
      </c>
      <c r="C90" s="53" t="s">
        <v>16</v>
      </c>
      <c r="D90" s="53" t="s">
        <v>17</v>
      </c>
      <c r="E90" s="54">
        <v>55303</v>
      </c>
      <c r="F90" s="55">
        <v>42617</v>
      </c>
      <c r="G90" s="56">
        <v>4</v>
      </c>
      <c r="H90" s="57" t="s">
        <v>27</v>
      </c>
      <c r="I90" s="58" t="s">
        <v>76</v>
      </c>
      <c r="J90" s="72" t="str">
        <f t="shared" si="1"/>
        <v>Normal</v>
      </c>
    </row>
    <row r="91" spans="1:10">
      <c r="A91" s="52" t="s">
        <v>188</v>
      </c>
      <c r="B91" s="53" t="s">
        <v>40</v>
      </c>
      <c r="C91" s="53" t="s">
        <v>33</v>
      </c>
      <c r="D91" s="53" t="s">
        <v>12</v>
      </c>
      <c r="E91" s="54">
        <v>63434</v>
      </c>
      <c r="F91" s="55">
        <v>42624</v>
      </c>
      <c r="G91" s="56">
        <v>3</v>
      </c>
      <c r="H91" s="57" t="s">
        <v>12</v>
      </c>
      <c r="I91" s="58" t="s">
        <v>189</v>
      </c>
      <c r="J91" s="72" t="str">
        <f t="shared" si="1"/>
        <v>Normal</v>
      </c>
    </row>
    <row r="92" spans="1:10">
      <c r="A92" s="52" t="s">
        <v>190</v>
      </c>
      <c r="B92" s="67" t="s">
        <v>30</v>
      </c>
      <c r="C92" s="53" t="s">
        <v>12</v>
      </c>
      <c r="D92" s="53" t="s">
        <v>63</v>
      </c>
      <c r="E92" s="54">
        <v>38830</v>
      </c>
      <c r="F92" s="55">
        <v>42631</v>
      </c>
      <c r="G92" s="56">
        <v>3</v>
      </c>
      <c r="H92" s="57" t="s">
        <v>18</v>
      </c>
      <c r="I92" s="58" t="s">
        <v>76</v>
      </c>
      <c r="J92" s="72" t="str">
        <f t="shared" si="1"/>
        <v>Normal</v>
      </c>
    </row>
    <row r="93" spans="1:10">
      <c r="A93" s="52" t="s">
        <v>191</v>
      </c>
      <c r="B93" s="53" t="s">
        <v>12</v>
      </c>
      <c r="C93" s="53" t="s">
        <v>41</v>
      </c>
      <c r="D93" s="53" t="s">
        <v>46</v>
      </c>
      <c r="E93" s="54">
        <v>50741</v>
      </c>
      <c r="F93" s="55">
        <v>42638</v>
      </c>
      <c r="G93" s="56">
        <v>3</v>
      </c>
      <c r="H93" s="57" t="s">
        <v>12</v>
      </c>
      <c r="I93" s="58" t="s">
        <v>159</v>
      </c>
      <c r="J93" s="72" t="str">
        <f t="shared" si="1"/>
        <v>Normal</v>
      </c>
    </row>
    <row r="94" spans="1:10">
      <c r="A94" s="52" t="s">
        <v>192</v>
      </c>
      <c r="B94" s="53" t="s">
        <v>21</v>
      </c>
      <c r="C94" s="53" t="s">
        <v>16</v>
      </c>
      <c r="D94" s="53" t="s">
        <v>63</v>
      </c>
      <c r="E94" s="54">
        <v>69420</v>
      </c>
      <c r="F94" s="55">
        <v>42645</v>
      </c>
      <c r="G94" s="56">
        <v>1</v>
      </c>
      <c r="H94" s="57" t="s">
        <v>27</v>
      </c>
      <c r="I94" s="58" t="s">
        <v>122</v>
      </c>
      <c r="J94" s="72" t="str">
        <f t="shared" si="1"/>
        <v>Normal</v>
      </c>
    </row>
    <row r="95" spans="1:10">
      <c r="A95" s="52" t="s">
        <v>193</v>
      </c>
      <c r="B95" s="53" t="s">
        <v>30</v>
      </c>
      <c r="C95" s="53" t="s">
        <v>33</v>
      </c>
      <c r="D95" s="53" t="s">
        <v>12</v>
      </c>
      <c r="E95" s="54">
        <v>80588</v>
      </c>
      <c r="F95" s="55">
        <v>42652</v>
      </c>
      <c r="G95" s="56">
        <v>5</v>
      </c>
      <c r="H95" s="57" t="s">
        <v>27</v>
      </c>
      <c r="I95" s="58" t="s">
        <v>103</v>
      </c>
      <c r="J95" s="72" t="str">
        <f t="shared" si="1"/>
        <v>High Salary</v>
      </c>
    </row>
    <row r="96" spans="1:10">
      <c r="A96" s="52" t="s">
        <v>194</v>
      </c>
      <c r="B96" s="67" t="s">
        <v>21</v>
      </c>
      <c r="C96" s="53" t="s">
        <v>12</v>
      </c>
      <c r="D96" s="53" t="s">
        <v>26</v>
      </c>
      <c r="E96" s="54">
        <v>76238</v>
      </c>
      <c r="F96" s="55">
        <v>42659</v>
      </c>
      <c r="G96" s="56">
        <v>4</v>
      </c>
      <c r="H96" s="57" t="s">
        <v>27</v>
      </c>
      <c r="I96" s="58" t="s">
        <v>195</v>
      </c>
      <c r="J96" s="72" t="str">
        <f t="shared" si="1"/>
        <v>Normal</v>
      </c>
    </row>
    <row r="97" spans="1:10">
      <c r="A97" s="52" t="s">
        <v>196</v>
      </c>
      <c r="B97" s="53" t="s">
        <v>53</v>
      </c>
      <c r="C97" s="53" t="s">
        <v>33</v>
      </c>
      <c r="D97" s="53" t="s">
        <v>34</v>
      </c>
      <c r="E97" s="54">
        <v>33264</v>
      </c>
      <c r="F97" s="55">
        <v>42666</v>
      </c>
      <c r="G97" s="56">
        <v>2.8666666666666667</v>
      </c>
      <c r="H97" s="57" t="s">
        <v>35</v>
      </c>
      <c r="I97" s="58" t="s">
        <v>197</v>
      </c>
      <c r="J97" s="72" t="str">
        <f t="shared" si="1"/>
        <v>Normal</v>
      </c>
    </row>
    <row r="98" spans="1:10">
      <c r="A98" s="52" t="s">
        <v>198</v>
      </c>
      <c r="B98" s="53" t="s">
        <v>21</v>
      </c>
      <c r="C98" s="53" t="s">
        <v>10</v>
      </c>
      <c r="D98" s="53" t="s">
        <v>63</v>
      </c>
      <c r="E98" s="54">
        <v>96101</v>
      </c>
      <c r="F98" s="55">
        <v>42673</v>
      </c>
      <c r="G98" s="56">
        <v>2.8666666666666667</v>
      </c>
      <c r="H98" s="57" t="s">
        <v>18</v>
      </c>
      <c r="I98" s="58" t="s">
        <v>199</v>
      </c>
      <c r="J98" s="72" t="str">
        <f t="shared" si="1"/>
        <v>High Salary</v>
      </c>
    </row>
    <row r="99" spans="1:10">
      <c r="A99" s="52" t="s">
        <v>200</v>
      </c>
      <c r="B99" s="53" t="s">
        <v>30</v>
      </c>
      <c r="C99" s="53" t="s">
        <v>10</v>
      </c>
      <c r="D99" s="53" t="s">
        <v>26</v>
      </c>
      <c r="E99" s="54">
        <v>72939</v>
      </c>
      <c r="F99" s="55">
        <v>42680</v>
      </c>
      <c r="G99" s="56">
        <v>3</v>
      </c>
      <c r="H99" s="57" t="s">
        <v>12</v>
      </c>
      <c r="I99" s="58" t="s">
        <v>201</v>
      </c>
      <c r="J99" s="72" t="str">
        <f t="shared" si="1"/>
        <v>Normal</v>
      </c>
    </row>
    <row r="100" spans="1:10">
      <c r="A100" s="52" t="s">
        <v>202</v>
      </c>
      <c r="B100" s="53" t="s">
        <v>38</v>
      </c>
      <c r="C100" s="53" t="s">
        <v>16</v>
      </c>
      <c r="D100" s="53" t="s">
        <v>17</v>
      </c>
      <c r="E100" s="54">
        <v>89333</v>
      </c>
      <c r="F100" s="55">
        <v>42687</v>
      </c>
      <c r="G100" s="56">
        <v>1</v>
      </c>
      <c r="H100" s="57" t="s">
        <v>27</v>
      </c>
      <c r="I100" s="58" t="s">
        <v>203</v>
      </c>
      <c r="J100" s="72" t="str">
        <f t="shared" si="1"/>
        <v>High Salary</v>
      </c>
    </row>
    <row r="101" spans="1:10">
      <c r="A101" s="52" t="s">
        <v>204</v>
      </c>
      <c r="B101" s="53" t="s">
        <v>53</v>
      </c>
      <c r="C101" s="53" t="s">
        <v>33</v>
      </c>
      <c r="D101" s="53" t="s">
        <v>63</v>
      </c>
      <c r="E101" s="54">
        <v>70470</v>
      </c>
      <c r="F101" s="55">
        <v>42694</v>
      </c>
      <c r="G101" s="56">
        <v>2.9069767441860463</v>
      </c>
      <c r="H101" s="57" t="s">
        <v>27</v>
      </c>
      <c r="I101" s="58" t="s">
        <v>205</v>
      </c>
      <c r="J101" s="72" t="str">
        <f t="shared" si="1"/>
        <v>Normal</v>
      </c>
    </row>
    <row r="102" spans="1:10">
      <c r="A102" s="52" t="s">
        <v>206</v>
      </c>
      <c r="B102" s="53" t="s">
        <v>15</v>
      </c>
      <c r="C102" s="53" t="s">
        <v>41</v>
      </c>
      <c r="D102" s="53" t="s">
        <v>26</v>
      </c>
      <c r="E102" s="54">
        <v>70096</v>
      </c>
      <c r="F102" s="55">
        <v>42701</v>
      </c>
      <c r="G102" s="56">
        <v>4</v>
      </c>
      <c r="H102" s="57" t="s">
        <v>27</v>
      </c>
      <c r="I102" s="58" t="s">
        <v>207</v>
      </c>
      <c r="J102" s="72" t="str">
        <f t="shared" si="1"/>
        <v>Normal</v>
      </c>
    </row>
    <row r="103" spans="1:10">
      <c r="A103" s="52" t="s">
        <v>208</v>
      </c>
      <c r="B103" s="53" t="s">
        <v>53</v>
      </c>
      <c r="C103" s="53" t="s">
        <v>41</v>
      </c>
      <c r="D103" s="53" t="s">
        <v>12</v>
      </c>
      <c r="E103" s="54">
        <v>63370.106382978724</v>
      </c>
      <c r="F103" s="55">
        <v>42708</v>
      </c>
      <c r="G103" s="56">
        <v>2</v>
      </c>
      <c r="H103" s="57" t="s">
        <v>18</v>
      </c>
      <c r="I103" s="58" t="s">
        <v>209</v>
      </c>
      <c r="J103" s="72" t="str">
        <f t="shared" si="1"/>
        <v>Normal</v>
      </c>
    </row>
    <row r="104" spans="1:10">
      <c r="A104" s="52" t="s">
        <v>210</v>
      </c>
      <c r="B104" s="53" t="s">
        <v>53</v>
      </c>
      <c r="C104" s="53" t="s">
        <v>33</v>
      </c>
      <c r="D104" s="53" t="s">
        <v>17</v>
      </c>
      <c r="E104" s="54">
        <v>66503</v>
      </c>
      <c r="F104" s="55">
        <v>42715</v>
      </c>
      <c r="G104" s="56">
        <v>2.9024390243902438</v>
      </c>
      <c r="H104" s="57" t="s">
        <v>27</v>
      </c>
      <c r="I104" s="58" t="s">
        <v>70</v>
      </c>
      <c r="J104" s="72" t="str">
        <f t="shared" si="1"/>
        <v>Normal</v>
      </c>
    </row>
    <row r="105" spans="1:10">
      <c r="A105" s="52" t="s">
        <v>211</v>
      </c>
      <c r="B105" s="53" t="s">
        <v>21</v>
      </c>
      <c r="C105" s="53" t="s">
        <v>16</v>
      </c>
      <c r="D105" s="53" t="s">
        <v>17</v>
      </c>
      <c r="E105" s="54">
        <v>42096</v>
      </c>
      <c r="F105" s="55">
        <v>42722</v>
      </c>
      <c r="G105" s="56">
        <v>2.9024390243902438</v>
      </c>
      <c r="H105" s="57" t="s">
        <v>35</v>
      </c>
      <c r="I105" s="58" t="s">
        <v>212</v>
      </c>
      <c r="J105" s="72" t="str">
        <f t="shared" si="1"/>
        <v>Normal</v>
      </c>
    </row>
    <row r="106" spans="1:10">
      <c r="A106" s="52" t="s">
        <v>213</v>
      </c>
      <c r="B106" s="53" t="s">
        <v>21</v>
      </c>
      <c r="C106" s="67" t="s">
        <v>41</v>
      </c>
      <c r="D106" s="53" t="s">
        <v>12</v>
      </c>
      <c r="E106" s="54">
        <v>79145</v>
      </c>
      <c r="F106" s="55">
        <v>42729</v>
      </c>
      <c r="G106" s="56">
        <v>5</v>
      </c>
      <c r="H106" s="57" t="s">
        <v>18</v>
      </c>
      <c r="I106" s="58" t="s">
        <v>117</v>
      </c>
      <c r="J106" s="72" t="str">
        <f t="shared" si="1"/>
        <v>Normal</v>
      </c>
    </row>
    <row r="107" spans="1:10">
      <c r="A107" s="52" t="s">
        <v>214</v>
      </c>
      <c r="B107" s="67" t="s">
        <v>30</v>
      </c>
      <c r="C107" s="53" t="s">
        <v>12</v>
      </c>
      <c r="D107" s="53" t="s">
        <v>63</v>
      </c>
      <c r="E107" s="54">
        <v>61556</v>
      </c>
      <c r="F107" s="55">
        <v>42736</v>
      </c>
      <c r="G107" s="56">
        <v>1</v>
      </c>
      <c r="H107" s="57" t="s">
        <v>12</v>
      </c>
      <c r="I107" s="58" t="s">
        <v>209</v>
      </c>
      <c r="J107" s="72" t="str">
        <f t="shared" si="1"/>
        <v>Normal</v>
      </c>
    </row>
    <row r="108" spans="1:10">
      <c r="A108" s="52" t="s">
        <v>215</v>
      </c>
      <c r="B108" s="53" t="s">
        <v>12</v>
      </c>
      <c r="C108" s="53" t="s">
        <v>16</v>
      </c>
      <c r="D108" s="53" t="s">
        <v>46</v>
      </c>
      <c r="E108" s="54">
        <v>87963</v>
      </c>
      <c r="F108" s="55">
        <v>42743</v>
      </c>
      <c r="G108" s="56">
        <v>3</v>
      </c>
      <c r="H108" s="57" t="s">
        <v>18</v>
      </c>
      <c r="I108" s="58" t="s">
        <v>12</v>
      </c>
      <c r="J108" s="72" t="str">
        <f t="shared" si="1"/>
        <v>High Salary</v>
      </c>
    </row>
    <row r="109" spans="1:10">
      <c r="A109" s="52" t="s">
        <v>216</v>
      </c>
      <c r="B109" s="53" t="s">
        <v>15</v>
      </c>
      <c r="C109" s="53" t="s">
        <v>33</v>
      </c>
      <c r="D109" s="53" t="s">
        <v>12</v>
      </c>
      <c r="E109" s="54">
        <v>48325</v>
      </c>
      <c r="F109" s="55">
        <v>42750</v>
      </c>
      <c r="G109" s="56">
        <v>2.8947368421052633</v>
      </c>
      <c r="H109" s="57" t="s">
        <v>27</v>
      </c>
      <c r="I109" s="58" t="s">
        <v>217</v>
      </c>
      <c r="J109" s="72" t="str">
        <f t="shared" si="1"/>
        <v>Normal</v>
      </c>
    </row>
    <row r="110" spans="1:10">
      <c r="A110" s="52" t="s">
        <v>218</v>
      </c>
      <c r="B110" s="53" t="s">
        <v>38</v>
      </c>
      <c r="C110" s="53" t="s">
        <v>41</v>
      </c>
      <c r="D110" s="53" t="s">
        <v>63</v>
      </c>
      <c r="E110" s="54">
        <v>86412</v>
      </c>
      <c r="F110" s="55">
        <v>42757</v>
      </c>
      <c r="G110" s="56">
        <v>2</v>
      </c>
      <c r="H110" s="57" t="s">
        <v>35</v>
      </c>
      <c r="I110" s="58" t="s">
        <v>74</v>
      </c>
      <c r="J110" s="72" t="str">
        <f t="shared" si="1"/>
        <v>High Salary</v>
      </c>
    </row>
    <row r="111" spans="1:10">
      <c r="A111" s="52" t="s">
        <v>219</v>
      </c>
      <c r="B111" s="53" t="s">
        <v>38</v>
      </c>
      <c r="C111" s="53" t="s">
        <v>16</v>
      </c>
      <c r="D111" s="53" t="s">
        <v>12</v>
      </c>
      <c r="E111" s="54">
        <v>66761</v>
      </c>
      <c r="F111" s="55">
        <v>42764</v>
      </c>
      <c r="G111" s="56">
        <v>1</v>
      </c>
      <c r="H111" s="57" t="s">
        <v>12</v>
      </c>
      <c r="I111" s="58" t="s">
        <v>220</v>
      </c>
      <c r="J111" s="72" t="str">
        <f t="shared" si="1"/>
        <v>Normal</v>
      </c>
    </row>
    <row r="112" spans="1:10">
      <c r="A112" s="52" t="s">
        <v>221</v>
      </c>
      <c r="B112" s="67" t="s">
        <v>30</v>
      </c>
      <c r="C112" s="53" t="s">
        <v>12</v>
      </c>
      <c r="D112" s="53" t="s">
        <v>34</v>
      </c>
      <c r="E112" s="54">
        <v>88850</v>
      </c>
      <c r="F112" s="55">
        <v>42771</v>
      </c>
      <c r="G112" s="56">
        <v>1</v>
      </c>
      <c r="H112" s="57" t="s">
        <v>35</v>
      </c>
      <c r="I112" s="58" t="s">
        <v>222</v>
      </c>
      <c r="J112" s="72" t="str">
        <f t="shared" si="1"/>
        <v>High Salary</v>
      </c>
    </row>
    <row r="113" spans="1:10">
      <c r="A113" s="52" t="s">
        <v>223</v>
      </c>
      <c r="B113" s="53" t="s">
        <v>40</v>
      </c>
      <c r="C113" s="53" t="s">
        <v>25</v>
      </c>
      <c r="D113" s="53" t="s">
        <v>34</v>
      </c>
      <c r="E113" s="54">
        <v>31293</v>
      </c>
      <c r="F113" s="55" t="s">
        <v>12</v>
      </c>
      <c r="G113" s="56">
        <v>2</v>
      </c>
      <c r="H113" s="57" t="s">
        <v>35</v>
      </c>
      <c r="I113" s="58" t="s">
        <v>224</v>
      </c>
      <c r="J113" s="72" t="str">
        <f t="shared" si="1"/>
        <v>Normal</v>
      </c>
    </row>
    <row r="114" spans="1:10">
      <c r="A114" s="52" t="s">
        <v>225</v>
      </c>
      <c r="B114" s="53" t="s">
        <v>40</v>
      </c>
      <c r="C114" s="53" t="s">
        <v>33</v>
      </c>
      <c r="D114" s="53" t="s">
        <v>26</v>
      </c>
      <c r="E114" s="54">
        <v>34306</v>
      </c>
      <c r="F114" s="55">
        <v>42785</v>
      </c>
      <c r="G114" s="56">
        <v>5</v>
      </c>
      <c r="H114" s="57" t="s">
        <v>35</v>
      </c>
      <c r="I114" s="58" t="s">
        <v>156</v>
      </c>
      <c r="J114" s="72" t="str">
        <f t="shared" si="1"/>
        <v>Normal</v>
      </c>
    </row>
    <row r="115" spans="1:10">
      <c r="A115" s="52" t="s">
        <v>226</v>
      </c>
      <c r="B115" s="53" t="s">
        <v>15</v>
      </c>
      <c r="C115" s="53" t="s">
        <v>10</v>
      </c>
      <c r="D115" s="53" t="s">
        <v>34</v>
      </c>
      <c r="E115" s="54">
        <v>78330</v>
      </c>
      <c r="F115" s="55">
        <v>42792</v>
      </c>
      <c r="G115" s="56">
        <v>3</v>
      </c>
      <c r="H115" s="57" t="s">
        <v>18</v>
      </c>
      <c r="I115" s="58" t="s">
        <v>207</v>
      </c>
      <c r="J115" s="72" t="str">
        <f t="shared" si="1"/>
        <v>Normal</v>
      </c>
    </row>
    <row r="116" spans="1:10">
      <c r="A116" s="52" t="s">
        <v>227</v>
      </c>
      <c r="B116" s="53" t="s">
        <v>21</v>
      </c>
      <c r="C116" s="53" t="s">
        <v>33</v>
      </c>
      <c r="D116" s="53" t="s">
        <v>26</v>
      </c>
      <c r="E116" s="54">
        <v>47653</v>
      </c>
      <c r="F116" s="55">
        <v>42799</v>
      </c>
      <c r="G116" s="56">
        <v>1</v>
      </c>
      <c r="H116" s="57" t="s">
        <v>27</v>
      </c>
      <c r="I116" s="58" t="s">
        <v>228</v>
      </c>
      <c r="J116" s="72" t="str">
        <f t="shared" si="1"/>
        <v>Normal</v>
      </c>
    </row>
    <row r="117" spans="1:10">
      <c r="A117" s="52" t="s">
        <v>229</v>
      </c>
      <c r="B117" s="53" t="s">
        <v>15</v>
      </c>
      <c r="C117" s="53" t="s">
        <v>41</v>
      </c>
      <c r="D117" s="53" t="s">
        <v>46</v>
      </c>
      <c r="E117" s="54">
        <v>44627</v>
      </c>
      <c r="F117" s="55">
        <v>42806</v>
      </c>
      <c r="G117" s="56">
        <v>4</v>
      </c>
      <c r="H117" s="57" t="s">
        <v>12</v>
      </c>
      <c r="I117" s="58" t="s">
        <v>148</v>
      </c>
      <c r="J117" s="72" t="str">
        <f t="shared" si="1"/>
        <v>Normal</v>
      </c>
    </row>
    <row r="118" spans="1:10">
      <c r="A118" s="52" t="s">
        <v>230</v>
      </c>
      <c r="B118" s="53" t="s">
        <v>53</v>
      </c>
      <c r="C118" s="53" t="s">
        <v>16</v>
      </c>
      <c r="D118" s="53" t="s">
        <v>17</v>
      </c>
      <c r="E118" s="54">
        <v>92343</v>
      </c>
      <c r="F118" s="55">
        <v>42813</v>
      </c>
      <c r="G118" s="56">
        <v>4</v>
      </c>
      <c r="H118" s="57" t="s">
        <v>35</v>
      </c>
      <c r="I118" s="58" t="s">
        <v>76</v>
      </c>
      <c r="J118" s="72" t="str">
        <f t="shared" si="1"/>
        <v>High Salary</v>
      </c>
    </row>
    <row r="119" spans="1:10">
      <c r="A119" s="52" t="s">
        <v>231</v>
      </c>
      <c r="B119" s="53" t="s">
        <v>53</v>
      </c>
      <c r="C119" s="53" t="s">
        <v>41</v>
      </c>
      <c r="D119" s="53" t="s">
        <v>63</v>
      </c>
      <c r="E119" s="54">
        <v>38837</v>
      </c>
      <c r="F119" s="55">
        <v>42820</v>
      </c>
      <c r="G119" s="56">
        <v>5</v>
      </c>
      <c r="H119" s="57" t="s">
        <v>35</v>
      </c>
      <c r="I119" s="58" t="s">
        <v>156</v>
      </c>
      <c r="J119" s="72" t="str">
        <f t="shared" si="1"/>
        <v>Normal</v>
      </c>
    </row>
    <row r="120" spans="1:10">
      <c r="A120" s="52" t="s">
        <v>232</v>
      </c>
      <c r="B120" s="53" t="s">
        <v>53</v>
      </c>
      <c r="C120" s="67" t="s">
        <v>41</v>
      </c>
      <c r="D120" s="53" t="s">
        <v>12</v>
      </c>
      <c r="E120" s="54">
        <v>73483</v>
      </c>
      <c r="F120" s="55">
        <v>42827</v>
      </c>
      <c r="G120" s="56">
        <v>1</v>
      </c>
      <c r="H120" s="57" t="s">
        <v>12</v>
      </c>
      <c r="I120" s="58" t="s">
        <v>233</v>
      </c>
      <c r="J120" s="72" t="str">
        <f t="shared" si="1"/>
        <v>Normal</v>
      </c>
    </row>
    <row r="121" spans="1:10">
      <c r="A121" s="52" t="s">
        <v>234</v>
      </c>
      <c r="B121" s="53" t="s">
        <v>40</v>
      </c>
      <c r="C121" s="53" t="s">
        <v>25</v>
      </c>
      <c r="D121" s="53" t="s">
        <v>34</v>
      </c>
      <c r="E121" s="54">
        <v>95032</v>
      </c>
      <c r="F121" s="55">
        <v>42834</v>
      </c>
      <c r="G121" s="56">
        <v>3</v>
      </c>
      <c r="H121" s="57" t="s">
        <v>12</v>
      </c>
      <c r="I121" s="58" t="s">
        <v>235</v>
      </c>
      <c r="J121" s="72" t="str">
        <f t="shared" si="1"/>
        <v>High Salary</v>
      </c>
    </row>
    <row r="122" spans="1:10">
      <c r="A122" s="52" t="s">
        <v>236</v>
      </c>
      <c r="B122" s="53" t="s">
        <v>15</v>
      </c>
      <c r="C122" s="53" t="s">
        <v>25</v>
      </c>
      <c r="D122" s="53" t="s">
        <v>63</v>
      </c>
      <c r="E122" s="54">
        <v>44358</v>
      </c>
      <c r="F122" s="55">
        <v>42841</v>
      </c>
      <c r="G122" s="56">
        <v>3</v>
      </c>
      <c r="H122" s="57" t="s">
        <v>35</v>
      </c>
      <c r="I122" s="58" t="s">
        <v>70</v>
      </c>
      <c r="J122" s="72" t="str">
        <f t="shared" si="1"/>
        <v>Normal</v>
      </c>
    </row>
    <row r="123" spans="1:10">
      <c r="A123" s="52" t="s">
        <v>237</v>
      </c>
      <c r="B123" s="53" t="s">
        <v>12</v>
      </c>
      <c r="C123" s="53" t="s">
        <v>33</v>
      </c>
      <c r="D123" s="53" t="s">
        <v>26</v>
      </c>
      <c r="E123" s="54">
        <v>63232.928571428572</v>
      </c>
      <c r="F123" s="55" t="s">
        <v>12</v>
      </c>
      <c r="G123" s="56">
        <v>5</v>
      </c>
      <c r="H123" s="57" t="s">
        <v>12</v>
      </c>
      <c r="I123" s="58" t="s">
        <v>238</v>
      </c>
      <c r="J123" s="72" t="str">
        <f t="shared" si="1"/>
        <v>Normal</v>
      </c>
    </row>
    <row r="124" spans="1:10">
      <c r="A124" s="52" t="s">
        <v>239</v>
      </c>
      <c r="B124" s="53" t="s">
        <v>40</v>
      </c>
      <c r="C124" s="53" t="s">
        <v>25</v>
      </c>
      <c r="D124" s="53" t="s">
        <v>26</v>
      </c>
      <c r="E124" s="54">
        <v>45676</v>
      </c>
      <c r="F124" s="55">
        <v>42855</v>
      </c>
      <c r="G124" s="56">
        <v>2</v>
      </c>
      <c r="H124" s="57" t="s">
        <v>12</v>
      </c>
      <c r="I124" s="58" t="s">
        <v>240</v>
      </c>
      <c r="J124" s="72" t="str">
        <f t="shared" si="1"/>
        <v>Normal</v>
      </c>
    </row>
    <row r="125" spans="1:10">
      <c r="A125" s="52" t="s">
        <v>241</v>
      </c>
      <c r="B125" s="53" t="s">
        <v>53</v>
      </c>
      <c r="C125" s="53" t="s">
        <v>25</v>
      </c>
      <c r="D125" s="53" t="s">
        <v>17</v>
      </c>
      <c r="E125" s="54">
        <v>52036</v>
      </c>
      <c r="F125" s="55">
        <v>42862</v>
      </c>
      <c r="G125" s="56">
        <v>3</v>
      </c>
      <c r="H125" s="57" t="s">
        <v>27</v>
      </c>
      <c r="I125" s="58" t="s">
        <v>242</v>
      </c>
      <c r="J125" s="72" t="str">
        <f t="shared" si="1"/>
        <v>Normal</v>
      </c>
    </row>
    <row r="126" spans="1:10">
      <c r="A126" s="52" t="s">
        <v>243</v>
      </c>
      <c r="B126" s="67" t="s">
        <v>30</v>
      </c>
      <c r="C126" s="53" t="s">
        <v>12</v>
      </c>
      <c r="D126" s="53" t="s">
        <v>17</v>
      </c>
      <c r="E126" s="54">
        <v>30357</v>
      </c>
      <c r="F126" s="55">
        <v>42869</v>
      </c>
      <c r="G126" s="56">
        <v>5</v>
      </c>
      <c r="H126" s="57" t="s">
        <v>27</v>
      </c>
      <c r="I126" s="58" t="s">
        <v>181</v>
      </c>
      <c r="J126" s="72" t="str">
        <f t="shared" si="1"/>
        <v>Normal</v>
      </c>
    </row>
    <row r="127" spans="1:10">
      <c r="A127" s="52" t="s">
        <v>244</v>
      </c>
      <c r="B127" s="53" t="s">
        <v>24</v>
      </c>
      <c r="C127" s="53" t="s">
        <v>33</v>
      </c>
      <c r="D127" s="53" t="s">
        <v>12</v>
      </c>
      <c r="E127" s="54">
        <v>60034</v>
      </c>
      <c r="F127" s="55">
        <v>42876</v>
      </c>
      <c r="G127" s="56">
        <v>1</v>
      </c>
      <c r="H127" s="57" t="s">
        <v>35</v>
      </c>
      <c r="I127" s="58" t="s">
        <v>245</v>
      </c>
      <c r="J127" s="72" t="str">
        <f t="shared" si="1"/>
        <v>Normal</v>
      </c>
    </row>
    <row r="128" spans="1:10">
      <c r="A128" s="52" t="s">
        <v>246</v>
      </c>
      <c r="B128" s="53" t="s">
        <v>24</v>
      </c>
      <c r="C128" s="53" t="s">
        <v>10</v>
      </c>
      <c r="D128" s="53" t="s">
        <v>12</v>
      </c>
      <c r="E128" s="54">
        <v>90019</v>
      </c>
      <c r="F128" s="55">
        <v>42883</v>
      </c>
      <c r="G128" s="56">
        <v>5</v>
      </c>
      <c r="H128" s="57" t="s">
        <v>12</v>
      </c>
      <c r="I128" s="58" t="s">
        <v>247</v>
      </c>
      <c r="J128" s="72" t="str">
        <f t="shared" si="1"/>
        <v>High Salary</v>
      </c>
    </row>
    <row r="129" spans="1:10">
      <c r="A129" s="52" t="s">
        <v>248</v>
      </c>
      <c r="B129" s="67" t="s">
        <v>53</v>
      </c>
      <c r="C129" s="53" t="s">
        <v>12</v>
      </c>
      <c r="D129" s="53" t="s">
        <v>17</v>
      </c>
      <c r="E129" s="54">
        <v>71494</v>
      </c>
      <c r="F129" s="55">
        <v>42890</v>
      </c>
      <c r="G129" s="56">
        <v>3</v>
      </c>
      <c r="H129" s="57" t="s">
        <v>27</v>
      </c>
      <c r="I129" s="58" t="s">
        <v>249</v>
      </c>
      <c r="J129" s="72" t="str">
        <f t="shared" si="1"/>
        <v>Normal</v>
      </c>
    </row>
    <row r="130" spans="1:10">
      <c r="A130" s="52" t="s">
        <v>250</v>
      </c>
      <c r="B130" s="53" t="s">
        <v>24</v>
      </c>
      <c r="C130" s="53" t="s">
        <v>10</v>
      </c>
      <c r="D130" s="53" t="s">
        <v>26</v>
      </c>
      <c r="E130" s="54">
        <v>91953</v>
      </c>
      <c r="F130" s="55">
        <v>42897</v>
      </c>
      <c r="G130" s="56">
        <v>2</v>
      </c>
      <c r="H130" s="57" t="s">
        <v>27</v>
      </c>
      <c r="I130" s="58" t="s">
        <v>88</v>
      </c>
      <c r="J130" s="72" t="str">
        <f t="shared" si="1"/>
        <v>High Salary</v>
      </c>
    </row>
    <row r="131" spans="1:10">
      <c r="A131" s="52" t="s">
        <v>251</v>
      </c>
      <c r="B131" s="53" t="s">
        <v>40</v>
      </c>
      <c r="C131" s="53" t="s">
        <v>25</v>
      </c>
      <c r="D131" s="53" t="s">
        <v>26</v>
      </c>
      <c r="E131" s="54">
        <v>30402</v>
      </c>
      <c r="F131" s="55">
        <v>42904</v>
      </c>
      <c r="G131" s="56">
        <v>1</v>
      </c>
      <c r="H131" s="57" t="s">
        <v>12</v>
      </c>
      <c r="I131" s="58" t="s">
        <v>252</v>
      </c>
      <c r="J131" s="72" t="str">
        <f t="shared" si="1"/>
        <v>Normal</v>
      </c>
    </row>
    <row r="132" spans="1:10">
      <c r="A132" s="52" t="s">
        <v>253</v>
      </c>
      <c r="B132" s="67" t="s">
        <v>53</v>
      </c>
      <c r="C132" s="53" t="s">
        <v>12</v>
      </c>
      <c r="D132" s="53" t="s">
        <v>46</v>
      </c>
      <c r="E132" s="54">
        <v>62994</v>
      </c>
      <c r="F132" s="55">
        <v>42911</v>
      </c>
      <c r="G132" s="56">
        <v>3</v>
      </c>
      <c r="H132" s="57" t="s">
        <v>12</v>
      </c>
      <c r="I132" s="58" t="s">
        <v>113</v>
      </c>
      <c r="J132" s="72" t="str">
        <f t="shared" ref="J132:J152" si="2">IF(E132&gt;80000,"High Salary", "Normal")</f>
        <v>Normal</v>
      </c>
    </row>
    <row r="133" spans="1:10">
      <c r="A133" s="52" t="s">
        <v>254</v>
      </c>
      <c r="B133" s="53" t="s">
        <v>21</v>
      </c>
      <c r="C133" s="53" t="s">
        <v>25</v>
      </c>
      <c r="D133" s="53" t="s">
        <v>34</v>
      </c>
      <c r="E133" s="54">
        <v>48289</v>
      </c>
      <c r="F133" s="55" t="s">
        <v>12</v>
      </c>
      <c r="G133" s="56">
        <v>3</v>
      </c>
      <c r="H133" s="57" t="s">
        <v>27</v>
      </c>
      <c r="I133" s="58" t="s">
        <v>44</v>
      </c>
      <c r="J133" s="72" t="str">
        <f t="shared" si="2"/>
        <v>Normal</v>
      </c>
    </row>
    <row r="134" spans="1:10">
      <c r="A134" s="52" t="s">
        <v>255</v>
      </c>
      <c r="B134" s="53" t="s">
        <v>38</v>
      </c>
      <c r="C134" s="53" t="s">
        <v>41</v>
      </c>
      <c r="D134" s="53" t="s">
        <v>17</v>
      </c>
      <c r="E134" s="54">
        <v>34402</v>
      </c>
      <c r="F134" s="55">
        <v>42925</v>
      </c>
      <c r="G134" s="56">
        <v>3</v>
      </c>
      <c r="H134" s="57" t="s">
        <v>18</v>
      </c>
      <c r="I134" s="58" t="s">
        <v>107</v>
      </c>
      <c r="J134" s="72" t="str">
        <f t="shared" si="2"/>
        <v>Normal</v>
      </c>
    </row>
    <row r="135" spans="1:10">
      <c r="A135" s="52" t="s">
        <v>256</v>
      </c>
      <c r="B135" s="53" t="s">
        <v>15</v>
      </c>
      <c r="C135" s="53" t="s">
        <v>16</v>
      </c>
      <c r="D135" s="53" t="s">
        <v>26</v>
      </c>
      <c r="E135" s="54">
        <v>38678</v>
      </c>
      <c r="F135" s="55">
        <v>42932</v>
      </c>
      <c r="G135" s="56">
        <v>3</v>
      </c>
      <c r="H135" s="57" t="s">
        <v>18</v>
      </c>
      <c r="I135" s="58" t="s">
        <v>257</v>
      </c>
      <c r="J135" s="72" t="str">
        <f t="shared" si="2"/>
        <v>Normal</v>
      </c>
    </row>
    <row r="136" spans="1:10">
      <c r="A136" s="52" t="s">
        <v>258</v>
      </c>
      <c r="B136" s="53" t="s">
        <v>40</v>
      </c>
      <c r="C136" s="53" t="s">
        <v>16</v>
      </c>
      <c r="D136" s="53" t="s">
        <v>17</v>
      </c>
      <c r="E136" s="54">
        <v>45758</v>
      </c>
      <c r="F136" s="55">
        <v>42939</v>
      </c>
      <c r="G136" s="56">
        <v>3</v>
      </c>
      <c r="H136" s="57" t="s">
        <v>12</v>
      </c>
      <c r="I136" s="58" t="s">
        <v>224</v>
      </c>
      <c r="J136" s="72" t="str">
        <f t="shared" si="2"/>
        <v>Normal</v>
      </c>
    </row>
    <row r="137" spans="1:10">
      <c r="A137" s="52" t="s">
        <v>259</v>
      </c>
      <c r="B137" s="53" t="s">
        <v>15</v>
      </c>
      <c r="C137" s="53" t="s">
        <v>41</v>
      </c>
      <c r="D137" s="53" t="s">
        <v>34</v>
      </c>
      <c r="E137" s="54">
        <v>62476</v>
      </c>
      <c r="F137" s="55">
        <v>42946</v>
      </c>
      <c r="G137" s="56">
        <v>1</v>
      </c>
      <c r="H137" s="57" t="s">
        <v>18</v>
      </c>
      <c r="I137" s="58" t="s">
        <v>137</v>
      </c>
      <c r="J137" s="72" t="str">
        <f t="shared" si="2"/>
        <v>Normal</v>
      </c>
    </row>
    <row r="138" spans="1:10">
      <c r="A138" s="52" t="s">
        <v>260</v>
      </c>
      <c r="B138" s="53" t="s">
        <v>12</v>
      </c>
      <c r="C138" s="53" t="s">
        <v>33</v>
      </c>
      <c r="D138" s="53" t="s">
        <v>46</v>
      </c>
      <c r="E138" s="54">
        <v>39280</v>
      </c>
      <c r="F138" s="55">
        <v>42953</v>
      </c>
      <c r="G138" s="56">
        <v>3</v>
      </c>
      <c r="H138" s="57" t="s">
        <v>35</v>
      </c>
      <c r="I138" s="58" t="s">
        <v>98</v>
      </c>
      <c r="J138" s="72" t="str">
        <f t="shared" si="2"/>
        <v>Normal</v>
      </c>
    </row>
    <row r="139" spans="1:10">
      <c r="A139" s="52" t="s">
        <v>261</v>
      </c>
      <c r="B139" s="53" t="s">
        <v>30</v>
      </c>
      <c r="C139" s="53" t="s">
        <v>10</v>
      </c>
      <c r="D139" s="53" t="s">
        <v>34</v>
      </c>
      <c r="E139" s="54">
        <v>60335</v>
      </c>
      <c r="F139" s="55">
        <v>42960</v>
      </c>
      <c r="G139" s="56">
        <v>4</v>
      </c>
      <c r="H139" s="57" t="s">
        <v>18</v>
      </c>
      <c r="I139" s="58" t="s">
        <v>128</v>
      </c>
      <c r="J139" s="72" t="str">
        <f t="shared" si="2"/>
        <v>Normal</v>
      </c>
    </row>
    <row r="140" spans="1:10">
      <c r="A140" s="52" t="s">
        <v>262</v>
      </c>
      <c r="B140" s="53" t="s">
        <v>40</v>
      </c>
      <c r="C140" s="53" t="s">
        <v>16</v>
      </c>
      <c r="D140" s="53" t="s">
        <v>17</v>
      </c>
      <c r="E140" s="54">
        <v>84968</v>
      </c>
      <c r="F140" s="55">
        <v>42967</v>
      </c>
      <c r="G140" s="56">
        <v>3.0909090909090908</v>
      </c>
      <c r="H140" s="57" t="s">
        <v>12</v>
      </c>
      <c r="I140" s="58" t="s">
        <v>263</v>
      </c>
      <c r="J140" s="72" t="str">
        <f t="shared" si="2"/>
        <v>High Salary</v>
      </c>
    </row>
    <row r="141" spans="1:10">
      <c r="A141" s="52" t="s">
        <v>264</v>
      </c>
      <c r="B141" s="53" t="s">
        <v>40</v>
      </c>
      <c r="C141" s="53" t="s">
        <v>41</v>
      </c>
      <c r="D141" s="53" t="s">
        <v>63</v>
      </c>
      <c r="E141" s="54">
        <v>84750</v>
      </c>
      <c r="F141" s="55">
        <v>42974</v>
      </c>
      <c r="G141" s="56">
        <v>4</v>
      </c>
      <c r="H141" s="57" t="s">
        <v>35</v>
      </c>
      <c r="I141" s="58" t="s">
        <v>59</v>
      </c>
      <c r="J141" s="72" t="str">
        <f t="shared" si="2"/>
        <v>High Salary</v>
      </c>
    </row>
    <row r="142" spans="1:10">
      <c r="A142" s="52" t="s">
        <v>265</v>
      </c>
      <c r="B142" s="53" t="s">
        <v>53</v>
      </c>
      <c r="C142" s="53" t="s">
        <v>33</v>
      </c>
      <c r="D142" s="53" t="s">
        <v>12</v>
      </c>
      <c r="E142" s="54">
        <v>73348</v>
      </c>
      <c r="F142" s="55">
        <v>42981</v>
      </c>
      <c r="G142" s="56">
        <v>2</v>
      </c>
      <c r="H142" s="57" t="s">
        <v>12</v>
      </c>
      <c r="I142" s="58" t="s">
        <v>170</v>
      </c>
      <c r="J142" s="72" t="str">
        <f t="shared" si="2"/>
        <v>Normal</v>
      </c>
    </row>
    <row r="143" spans="1:10">
      <c r="A143" s="52" t="s">
        <v>266</v>
      </c>
      <c r="B143" s="53" t="s">
        <v>40</v>
      </c>
      <c r="C143" s="53" t="s">
        <v>25</v>
      </c>
      <c r="D143" s="53" t="s">
        <v>26</v>
      </c>
      <c r="E143" s="54">
        <v>73697</v>
      </c>
      <c r="F143" s="55">
        <v>42988</v>
      </c>
      <c r="G143" s="56">
        <v>4</v>
      </c>
      <c r="H143" s="57" t="s">
        <v>18</v>
      </c>
      <c r="I143" s="58" t="s">
        <v>12</v>
      </c>
      <c r="J143" s="72" t="str">
        <f t="shared" si="2"/>
        <v>Normal</v>
      </c>
    </row>
    <row r="144" spans="1:10">
      <c r="A144" s="52" t="s">
        <v>267</v>
      </c>
      <c r="B144" s="53" t="s">
        <v>30</v>
      </c>
      <c r="C144" s="53" t="s">
        <v>41</v>
      </c>
      <c r="D144" s="53" t="s">
        <v>26</v>
      </c>
      <c r="E144" s="54">
        <v>66882</v>
      </c>
      <c r="F144" s="55">
        <v>42995</v>
      </c>
      <c r="G144" s="56">
        <v>5</v>
      </c>
      <c r="H144" s="57" t="s">
        <v>18</v>
      </c>
      <c r="I144" s="58" t="s">
        <v>84</v>
      </c>
      <c r="J144" s="72" t="str">
        <f t="shared" si="2"/>
        <v>Normal</v>
      </c>
    </row>
    <row r="145" spans="1:10">
      <c r="A145" s="52" t="s">
        <v>268</v>
      </c>
      <c r="B145" s="53" t="s">
        <v>21</v>
      </c>
      <c r="C145" s="67" t="s">
        <v>41</v>
      </c>
      <c r="D145" s="53" t="s">
        <v>12</v>
      </c>
      <c r="E145" s="54">
        <v>86775</v>
      </c>
      <c r="F145" s="55">
        <v>43002</v>
      </c>
      <c r="G145" s="56">
        <v>3</v>
      </c>
      <c r="H145" s="57" t="s">
        <v>18</v>
      </c>
      <c r="I145" s="58" t="s">
        <v>94</v>
      </c>
      <c r="J145" s="72" t="str">
        <f t="shared" si="2"/>
        <v>High Salary</v>
      </c>
    </row>
    <row r="146" spans="1:10">
      <c r="A146" s="52" t="s">
        <v>269</v>
      </c>
      <c r="B146" s="53" t="s">
        <v>40</v>
      </c>
      <c r="C146" s="53" t="s">
        <v>25</v>
      </c>
      <c r="D146" s="53" t="s">
        <v>46</v>
      </c>
      <c r="E146" s="54">
        <v>91620</v>
      </c>
      <c r="F146" s="55">
        <v>43009</v>
      </c>
      <c r="G146" s="56">
        <v>2.6666666666666665</v>
      </c>
      <c r="H146" s="57" t="s">
        <v>12</v>
      </c>
      <c r="I146" s="58" t="s">
        <v>270</v>
      </c>
      <c r="J146" s="72" t="str">
        <f t="shared" si="2"/>
        <v>High Salary</v>
      </c>
    </row>
    <row r="147" spans="1:10">
      <c r="A147" s="52" t="s">
        <v>271</v>
      </c>
      <c r="B147" s="67" t="s">
        <v>15</v>
      </c>
      <c r="C147" s="53" t="s">
        <v>12</v>
      </c>
      <c r="D147" s="53" t="s">
        <v>12</v>
      </c>
      <c r="E147" s="54">
        <v>94148</v>
      </c>
      <c r="F147" s="55">
        <v>43016</v>
      </c>
      <c r="G147" s="56">
        <v>2</v>
      </c>
      <c r="H147" s="57" t="s">
        <v>12</v>
      </c>
      <c r="I147" s="58" t="s">
        <v>272</v>
      </c>
      <c r="J147" s="72" t="str">
        <f t="shared" si="2"/>
        <v>High Salary</v>
      </c>
    </row>
    <row r="148" spans="1:10">
      <c r="A148" s="52" t="s">
        <v>273</v>
      </c>
      <c r="B148" s="53" t="s">
        <v>38</v>
      </c>
      <c r="C148" s="53" t="s">
        <v>25</v>
      </c>
      <c r="D148" s="53" t="s">
        <v>63</v>
      </c>
      <c r="E148" s="54">
        <v>35627</v>
      </c>
      <c r="F148" s="55">
        <v>43023</v>
      </c>
      <c r="G148" s="56">
        <v>5</v>
      </c>
      <c r="H148" s="57" t="s">
        <v>35</v>
      </c>
      <c r="I148" s="58" t="s">
        <v>257</v>
      </c>
      <c r="J148" s="72" t="str">
        <f t="shared" si="2"/>
        <v>Normal</v>
      </c>
    </row>
    <row r="149" spans="1:10">
      <c r="A149" s="52" t="s">
        <v>274</v>
      </c>
      <c r="B149" s="53" t="s">
        <v>24</v>
      </c>
      <c r="C149" s="53" t="s">
        <v>41</v>
      </c>
      <c r="D149" s="53" t="s">
        <v>26</v>
      </c>
      <c r="E149" s="54">
        <v>57141</v>
      </c>
      <c r="F149" s="55">
        <v>43030</v>
      </c>
      <c r="G149" s="56">
        <v>2</v>
      </c>
      <c r="H149" s="57" t="s">
        <v>12</v>
      </c>
      <c r="I149" s="58" t="s">
        <v>263</v>
      </c>
      <c r="J149" s="72" t="str">
        <f t="shared" si="2"/>
        <v>Normal</v>
      </c>
    </row>
    <row r="150" spans="1:10">
      <c r="A150" s="52" t="s">
        <v>275</v>
      </c>
      <c r="B150" s="53" t="s">
        <v>53</v>
      </c>
      <c r="C150" s="53" t="s">
        <v>25</v>
      </c>
      <c r="D150" s="53" t="s">
        <v>63</v>
      </c>
      <c r="E150" s="54">
        <v>65270</v>
      </c>
      <c r="F150" s="55">
        <v>43037</v>
      </c>
      <c r="G150" s="56">
        <v>1</v>
      </c>
      <c r="H150" s="57" t="s">
        <v>12</v>
      </c>
      <c r="I150" s="58" t="s">
        <v>276</v>
      </c>
      <c r="J150" s="72" t="str">
        <f t="shared" si="2"/>
        <v>Normal</v>
      </c>
    </row>
    <row r="151" spans="1:10">
      <c r="A151" s="52" t="s">
        <v>277</v>
      </c>
      <c r="B151" s="67" t="s">
        <v>53</v>
      </c>
      <c r="C151" s="53" t="s">
        <v>12</v>
      </c>
      <c r="D151" s="53" t="s">
        <v>46</v>
      </c>
      <c r="E151" s="54">
        <v>67335</v>
      </c>
      <c r="F151" s="55">
        <v>43044</v>
      </c>
      <c r="G151" s="56">
        <v>1</v>
      </c>
      <c r="H151" s="57" t="s">
        <v>18</v>
      </c>
      <c r="I151" s="58" t="s">
        <v>143</v>
      </c>
      <c r="J151" s="72" t="str">
        <f t="shared" si="2"/>
        <v>Normal</v>
      </c>
    </row>
    <row r="152" spans="1:10">
      <c r="A152" s="52" t="s">
        <v>278</v>
      </c>
      <c r="B152" s="53" t="s">
        <v>38</v>
      </c>
      <c r="C152" s="53" t="s">
        <v>41</v>
      </c>
      <c r="D152" s="53" t="s">
        <v>34</v>
      </c>
      <c r="E152" s="54">
        <v>98475</v>
      </c>
      <c r="F152" s="55">
        <v>43051</v>
      </c>
      <c r="G152" s="56">
        <v>5</v>
      </c>
      <c r="H152" s="57" t="s">
        <v>18</v>
      </c>
      <c r="I152" s="58" t="s">
        <v>279</v>
      </c>
      <c r="J152" s="72" t="str">
        <f t="shared" si="2"/>
        <v>High Salary</v>
      </c>
    </row>
  </sheetData>
  <mergeCells count="5">
    <mergeCell ref="B1:U1"/>
    <mergeCell ref="L4:L5"/>
    <mergeCell ref="M4:M5"/>
    <mergeCell ref="N4:N5"/>
    <mergeCell ref="O4:O5"/>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E14EB-32A2-4CB1-BCBF-754E7710F830}">
  <dimension ref="A1:R152"/>
  <sheetViews>
    <sheetView topLeftCell="A129" zoomScaleNormal="100" workbookViewId="0">
      <selection activeCell="J149" sqref="J149"/>
    </sheetView>
  </sheetViews>
  <sheetFormatPr defaultRowHeight="14.4"/>
  <cols>
    <col min="1" max="1" width="11.21875" customWidth="1"/>
    <col min="2" max="2" width="12.5546875" customWidth="1"/>
    <col min="3" max="3" width="13.109375" customWidth="1"/>
    <col min="4" max="4" width="14.88671875" customWidth="1"/>
    <col min="5" max="5" width="11.88671875" customWidth="1"/>
    <col min="6" max="6" width="13.88671875" customWidth="1"/>
    <col min="8" max="8" width="11.44140625" customWidth="1"/>
    <col min="9" max="9" width="25.5546875" customWidth="1"/>
    <col min="11" max="11" width="0.109375" customWidth="1"/>
    <col min="12" max="13" width="8.88671875" hidden="1" customWidth="1"/>
    <col min="14" max="14" width="25.77734375" customWidth="1"/>
    <col min="15" max="15" width="47.6640625" customWidth="1"/>
  </cols>
  <sheetData>
    <row r="1" spans="1:18" ht="28.8" customHeight="1">
      <c r="A1" s="190" t="s">
        <v>330</v>
      </c>
      <c r="B1" s="190"/>
      <c r="C1" s="190"/>
      <c r="D1" s="190"/>
      <c r="E1" s="190"/>
      <c r="F1" s="190"/>
      <c r="G1" s="190"/>
      <c r="H1" s="190"/>
      <c r="I1" s="190"/>
      <c r="J1" s="190"/>
      <c r="K1" s="190"/>
      <c r="L1" s="190"/>
      <c r="M1" s="190"/>
      <c r="N1" s="190"/>
      <c r="O1" s="190"/>
      <c r="P1" s="190"/>
      <c r="Q1" s="190"/>
      <c r="R1" s="190"/>
    </row>
    <row r="2" spans="1:18">
      <c r="A2" s="84" t="s">
        <v>0</v>
      </c>
      <c r="B2" s="85" t="s">
        <v>1</v>
      </c>
      <c r="C2" s="85" t="s">
        <v>2</v>
      </c>
      <c r="D2" s="85" t="s">
        <v>3</v>
      </c>
      <c r="E2" s="86" t="s">
        <v>4</v>
      </c>
      <c r="F2" s="87" t="s">
        <v>5</v>
      </c>
      <c r="G2" s="88" t="s">
        <v>6</v>
      </c>
      <c r="H2" s="85" t="s">
        <v>7</v>
      </c>
      <c r="I2" s="89" t="s">
        <v>8</v>
      </c>
    </row>
    <row r="3" spans="1:18">
      <c r="A3" s="90" t="s">
        <v>9</v>
      </c>
      <c r="B3" s="53" t="s">
        <v>12</v>
      </c>
      <c r="C3" s="53" t="s">
        <v>10</v>
      </c>
      <c r="D3" s="53" t="s">
        <v>12</v>
      </c>
      <c r="E3" s="54">
        <v>66280.929577464791</v>
      </c>
      <c r="F3" s="55" t="s">
        <v>12</v>
      </c>
      <c r="G3" s="56">
        <v>2</v>
      </c>
      <c r="H3" s="57" t="s">
        <v>12</v>
      </c>
      <c r="I3" s="71" t="s">
        <v>12</v>
      </c>
    </row>
    <row r="4" spans="1:18">
      <c r="A4" s="90" t="s">
        <v>14</v>
      </c>
      <c r="B4" s="53" t="s">
        <v>15</v>
      </c>
      <c r="C4" s="53" t="s">
        <v>16</v>
      </c>
      <c r="D4" s="53" t="s">
        <v>17</v>
      </c>
      <c r="E4" s="54">
        <v>54255</v>
      </c>
      <c r="F4" s="55">
        <v>42015</v>
      </c>
      <c r="G4" s="56">
        <v>1</v>
      </c>
      <c r="H4" s="57" t="s">
        <v>18</v>
      </c>
      <c r="I4" s="71" t="s">
        <v>19</v>
      </c>
      <c r="N4" s="100" t="s">
        <v>319</v>
      </c>
      <c r="O4" s="101" t="s">
        <v>292</v>
      </c>
    </row>
    <row r="5" spans="1:18">
      <c r="A5" s="90" t="s">
        <v>20</v>
      </c>
      <c r="B5" s="53" t="s">
        <v>21</v>
      </c>
      <c r="C5" s="53" t="s">
        <v>10</v>
      </c>
      <c r="D5" s="53" t="s">
        <v>17</v>
      </c>
      <c r="E5" s="54">
        <v>63184</v>
      </c>
      <c r="F5" s="55">
        <v>42022</v>
      </c>
      <c r="G5" s="56">
        <v>2</v>
      </c>
      <c r="H5" s="57" t="s">
        <v>12</v>
      </c>
      <c r="I5" s="71" t="s">
        <v>22</v>
      </c>
      <c r="N5" s="98" t="s">
        <v>320</v>
      </c>
      <c r="O5" s="99" t="s">
        <v>321</v>
      </c>
    </row>
    <row r="6" spans="1:18">
      <c r="A6" s="90" t="s">
        <v>23</v>
      </c>
      <c r="B6" s="53" t="s">
        <v>24</v>
      </c>
      <c r="C6" s="53" t="s">
        <v>25</v>
      </c>
      <c r="D6" s="53" t="s">
        <v>26</v>
      </c>
      <c r="E6" s="54">
        <v>94406</v>
      </c>
      <c r="F6" s="55">
        <v>42029</v>
      </c>
      <c r="G6" s="56">
        <v>1</v>
      </c>
      <c r="H6" s="57" t="s">
        <v>27</v>
      </c>
      <c r="I6" s="71" t="s">
        <v>28</v>
      </c>
      <c r="N6" s="98" t="s">
        <v>322</v>
      </c>
      <c r="O6" s="99" t="s">
        <v>323</v>
      </c>
    </row>
    <row r="7" spans="1:18">
      <c r="A7" s="90" t="s">
        <v>29</v>
      </c>
      <c r="B7" s="53" t="s">
        <v>30</v>
      </c>
      <c r="C7" s="53" t="s">
        <v>25</v>
      </c>
      <c r="D7" s="53" t="s">
        <v>17</v>
      </c>
      <c r="E7" s="54">
        <v>64120</v>
      </c>
      <c r="F7" s="55">
        <v>42036</v>
      </c>
      <c r="G7" s="56">
        <v>1</v>
      </c>
      <c r="H7" s="57" t="s">
        <v>27</v>
      </c>
      <c r="I7" s="71" t="s">
        <v>31</v>
      </c>
      <c r="N7" s="98" t="s">
        <v>324</v>
      </c>
      <c r="O7" s="99" t="s">
        <v>325</v>
      </c>
    </row>
    <row r="8" spans="1:18">
      <c r="A8" s="90" t="s">
        <v>32</v>
      </c>
      <c r="B8" s="53" t="s">
        <v>21</v>
      </c>
      <c r="C8" s="53" t="s">
        <v>33</v>
      </c>
      <c r="D8" s="53" t="s">
        <v>34</v>
      </c>
      <c r="E8" s="54">
        <v>78421</v>
      </c>
      <c r="F8" s="55">
        <v>42043</v>
      </c>
      <c r="G8" s="56">
        <v>2</v>
      </c>
      <c r="H8" s="57" t="s">
        <v>35</v>
      </c>
      <c r="I8" s="71" t="s">
        <v>36</v>
      </c>
      <c r="N8" s="98" t="s">
        <v>326</v>
      </c>
      <c r="O8" s="99" t="s">
        <v>327</v>
      </c>
    </row>
    <row r="9" spans="1:18">
      <c r="A9" s="90" t="s">
        <v>37</v>
      </c>
      <c r="B9" s="53" t="s">
        <v>38</v>
      </c>
      <c r="C9" s="53" t="s">
        <v>25</v>
      </c>
      <c r="D9" s="53" t="s">
        <v>12</v>
      </c>
      <c r="E9" s="54">
        <v>67721</v>
      </c>
      <c r="F9" s="55">
        <v>42050</v>
      </c>
      <c r="G9" s="56">
        <v>2.9411764705882355</v>
      </c>
      <c r="H9" s="57" t="s">
        <v>27</v>
      </c>
      <c r="I9" s="71" t="s">
        <v>28</v>
      </c>
      <c r="N9" s="102" t="s">
        <v>328</v>
      </c>
      <c r="O9" s="103" t="s">
        <v>329</v>
      </c>
    </row>
    <row r="10" spans="1:18">
      <c r="A10" s="90" t="s">
        <v>39</v>
      </c>
      <c r="B10" s="53" t="s">
        <v>40</v>
      </c>
      <c r="C10" s="67" t="s">
        <v>41</v>
      </c>
      <c r="D10" s="53" t="s">
        <v>12</v>
      </c>
      <c r="E10" s="54">
        <v>35364</v>
      </c>
      <c r="F10" s="55">
        <v>42057</v>
      </c>
      <c r="G10" s="56">
        <v>2</v>
      </c>
      <c r="H10" s="57" t="s">
        <v>18</v>
      </c>
      <c r="I10" s="71" t="s">
        <v>42</v>
      </c>
    </row>
    <row r="11" spans="1:18">
      <c r="A11" s="90" t="s">
        <v>43</v>
      </c>
      <c r="B11" s="53" t="s">
        <v>21</v>
      </c>
      <c r="C11" s="53" t="s">
        <v>33</v>
      </c>
      <c r="D11" s="53" t="s">
        <v>17</v>
      </c>
      <c r="E11" s="54">
        <v>97881</v>
      </c>
      <c r="F11" s="55">
        <v>42064</v>
      </c>
      <c r="G11" s="56">
        <v>2.9491525423728815</v>
      </c>
      <c r="H11" s="57" t="s">
        <v>35</v>
      </c>
      <c r="I11" s="71" t="s">
        <v>44</v>
      </c>
    </row>
    <row r="12" spans="1:18">
      <c r="A12" s="90" t="s">
        <v>45</v>
      </c>
      <c r="B12" s="53" t="s">
        <v>40</v>
      </c>
      <c r="C12" s="53" t="s">
        <v>16</v>
      </c>
      <c r="D12" s="53" t="s">
        <v>46</v>
      </c>
      <c r="E12" s="54">
        <v>91846</v>
      </c>
      <c r="F12" s="55">
        <v>42071</v>
      </c>
      <c r="G12" s="56">
        <v>2.9491525423728815</v>
      </c>
      <c r="H12" s="57" t="s">
        <v>27</v>
      </c>
      <c r="I12" s="71" t="s">
        <v>47</v>
      </c>
    </row>
    <row r="13" spans="1:18">
      <c r="A13" s="90" t="s">
        <v>48</v>
      </c>
      <c r="B13" s="53" t="s">
        <v>38</v>
      </c>
      <c r="C13" s="53" t="s">
        <v>10</v>
      </c>
      <c r="D13" s="53" t="s">
        <v>46</v>
      </c>
      <c r="E13" s="54">
        <v>64247</v>
      </c>
      <c r="F13" s="55">
        <v>42078</v>
      </c>
      <c r="G13" s="56">
        <v>1</v>
      </c>
      <c r="H13" s="57" t="s">
        <v>35</v>
      </c>
      <c r="I13" s="71" t="s">
        <v>49</v>
      </c>
    </row>
    <row r="14" spans="1:18">
      <c r="A14" s="90" t="s">
        <v>50</v>
      </c>
      <c r="B14" s="53" t="s">
        <v>38</v>
      </c>
      <c r="C14" s="53" t="s">
        <v>33</v>
      </c>
      <c r="D14" s="53" t="s">
        <v>26</v>
      </c>
      <c r="E14" s="54">
        <v>91180</v>
      </c>
      <c r="F14" s="55">
        <v>42085</v>
      </c>
      <c r="G14" s="56">
        <v>5</v>
      </c>
      <c r="H14" s="57" t="s">
        <v>27</v>
      </c>
      <c r="I14" s="71" t="s">
        <v>51</v>
      </c>
    </row>
    <row r="15" spans="1:18">
      <c r="A15" s="90" t="s">
        <v>52</v>
      </c>
      <c r="B15" s="53" t="s">
        <v>53</v>
      </c>
      <c r="C15" s="53" t="s">
        <v>25</v>
      </c>
      <c r="D15" s="53" t="s">
        <v>12</v>
      </c>
      <c r="E15" s="54">
        <v>96418</v>
      </c>
      <c r="F15" s="55">
        <v>42092</v>
      </c>
      <c r="G15" s="56">
        <v>5</v>
      </c>
      <c r="H15" s="57" t="s">
        <v>27</v>
      </c>
      <c r="I15" s="71" t="s">
        <v>19</v>
      </c>
    </row>
    <row r="16" spans="1:18">
      <c r="A16" s="90" t="s">
        <v>54</v>
      </c>
      <c r="B16" s="67" t="s">
        <v>38</v>
      </c>
      <c r="C16" s="53" t="s">
        <v>12</v>
      </c>
      <c r="D16" s="53" t="s">
        <v>34</v>
      </c>
      <c r="E16" s="54">
        <v>62158</v>
      </c>
      <c r="F16" s="55">
        <v>42099</v>
      </c>
      <c r="G16" s="56">
        <v>4</v>
      </c>
      <c r="H16" s="57" t="s">
        <v>12</v>
      </c>
      <c r="I16" s="71" t="s">
        <v>55</v>
      </c>
    </row>
    <row r="17" spans="1:9">
      <c r="A17" s="90" t="s">
        <v>56</v>
      </c>
      <c r="B17" s="53" t="s">
        <v>30</v>
      </c>
      <c r="C17" s="53" t="s">
        <v>16</v>
      </c>
      <c r="D17" s="53" t="s">
        <v>12</v>
      </c>
      <c r="E17" s="54">
        <v>59894</v>
      </c>
      <c r="F17" s="55">
        <v>42106</v>
      </c>
      <c r="G17" s="56">
        <v>2</v>
      </c>
      <c r="H17" s="57" t="s">
        <v>27</v>
      </c>
      <c r="I17" s="71" t="s">
        <v>57</v>
      </c>
    </row>
    <row r="18" spans="1:9">
      <c r="A18" s="90" t="s">
        <v>58</v>
      </c>
      <c r="B18" s="53" t="s">
        <v>12</v>
      </c>
      <c r="C18" s="53" t="s">
        <v>33</v>
      </c>
      <c r="D18" s="53" t="s">
        <v>34</v>
      </c>
      <c r="E18" s="54">
        <v>92443</v>
      </c>
      <c r="F18" s="55">
        <v>42113</v>
      </c>
      <c r="G18" s="56">
        <v>3</v>
      </c>
      <c r="H18" s="57" t="s">
        <v>18</v>
      </c>
      <c r="I18" s="71" t="s">
        <v>59</v>
      </c>
    </row>
    <row r="19" spans="1:9">
      <c r="A19" s="90" t="s">
        <v>60</v>
      </c>
      <c r="B19" s="67" t="s">
        <v>53</v>
      </c>
      <c r="C19" s="53" t="s">
        <v>12</v>
      </c>
      <c r="D19" s="53" t="s">
        <v>17</v>
      </c>
      <c r="E19" s="54">
        <v>90271</v>
      </c>
      <c r="F19" s="55">
        <v>42120</v>
      </c>
      <c r="G19" s="56">
        <v>2.9285714285714284</v>
      </c>
      <c r="H19" s="57" t="s">
        <v>12</v>
      </c>
      <c r="I19" s="71" t="s">
        <v>61</v>
      </c>
    </row>
    <row r="20" spans="1:9">
      <c r="A20" s="90" t="s">
        <v>62</v>
      </c>
      <c r="B20" s="53" t="s">
        <v>30</v>
      </c>
      <c r="C20" s="53" t="s">
        <v>10</v>
      </c>
      <c r="D20" s="53" t="s">
        <v>63</v>
      </c>
      <c r="E20" s="54">
        <v>41341</v>
      </c>
      <c r="F20" s="55">
        <v>42127</v>
      </c>
      <c r="G20" s="56">
        <v>1</v>
      </c>
      <c r="H20" s="57" t="s">
        <v>18</v>
      </c>
      <c r="I20" s="71" t="s">
        <v>64</v>
      </c>
    </row>
    <row r="21" spans="1:9">
      <c r="A21" s="90" t="s">
        <v>65</v>
      </c>
      <c r="B21" s="53" t="s">
        <v>21</v>
      </c>
      <c r="C21" s="53" t="s">
        <v>10</v>
      </c>
      <c r="D21" s="53" t="s">
        <v>46</v>
      </c>
      <c r="E21" s="54">
        <v>73602</v>
      </c>
      <c r="F21" s="55">
        <v>42134</v>
      </c>
      <c r="G21" s="56">
        <v>2.9459459459459461</v>
      </c>
      <c r="H21" s="57" t="s">
        <v>12</v>
      </c>
      <c r="I21" s="71" t="s">
        <v>66</v>
      </c>
    </row>
    <row r="22" spans="1:9">
      <c r="A22" s="90" t="s">
        <v>67</v>
      </c>
      <c r="B22" s="67" t="s">
        <v>15</v>
      </c>
      <c r="C22" s="53" t="s">
        <v>12</v>
      </c>
      <c r="D22" s="53" t="s">
        <v>34</v>
      </c>
      <c r="E22" s="54">
        <v>67531</v>
      </c>
      <c r="F22" s="55">
        <v>42141</v>
      </c>
      <c r="G22" s="56">
        <v>5</v>
      </c>
      <c r="H22" s="57" t="s">
        <v>35</v>
      </c>
      <c r="I22" s="71" t="s">
        <v>68</v>
      </c>
    </row>
    <row r="23" spans="1:9">
      <c r="A23" s="90" t="s">
        <v>69</v>
      </c>
      <c r="B23" s="53" t="s">
        <v>30</v>
      </c>
      <c r="C23" s="53" t="s">
        <v>16</v>
      </c>
      <c r="D23" s="53" t="s">
        <v>26</v>
      </c>
      <c r="E23" s="54">
        <v>65248.853658536587</v>
      </c>
      <c r="F23" s="55">
        <v>42148</v>
      </c>
      <c r="G23" s="56">
        <v>2</v>
      </c>
      <c r="H23" s="57" t="s">
        <v>18</v>
      </c>
      <c r="I23" s="71" t="s">
        <v>70</v>
      </c>
    </row>
    <row r="24" spans="1:9">
      <c r="A24" s="90" t="s">
        <v>71</v>
      </c>
      <c r="B24" s="53" t="s">
        <v>30</v>
      </c>
      <c r="C24" s="53" t="s">
        <v>16</v>
      </c>
      <c r="D24" s="53" t="s">
        <v>12</v>
      </c>
      <c r="E24" s="54">
        <v>98922</v>
      </c>
      <c r="F24" s="55">
        <v>42155</v>
      </c>
      <c r="G24" s="56">
        <v>4</v>
      </c>
      <c r="H24" s="57" t="s">
        <v>12</v>
      </c>
      <c r="I24" s="71" t="s">
        <v>72</v>
      </c>
    </row>
    <row r="25" spans="1:9">
      <c r="A25" s="90" t="s">
        <v>73</v>
      </c>
      <c r="B25" s="53" t="s">
        <v>15</v>
      </c>
      <c r="C25" s="53" t="s">
        <v>10</v>
      </c>
      <c r="D25" s="53" t="s">
        <v>34</v>
      </c>
      <c r="E25" s="54">
        <v>38333</v>
      </c>
      <c r="F25" s="55">
        <v>42162</v>
      </c>
      <c r="G25" s="56">
        <v>5</v>
      </c>
      <c r="H25" s="57" t="s">
        <v>12</v>
      </c>
      <c r="I25" s="71" t="s">
        <v>74</v>
      </c>
    </row>
    <row r="26" spans="1:9">
      <c r="A26" s="90" t="s">
        <v>75</v>
      </c>
      <c r="B26" s="53" t="s">
        <v>21</v>
      </c>
      <c r="C26" s="53" t="s">
        <v>41</v>
      </c>
      <c r="D26" s="53" t="s">
        <v>46</v>
      </c>
      <c r="E26" s="54">
        <v>36515</v>
      </c>
      <c r="F26" s="55">
        <v>42169</v>
      </c>
      <c r="G26" s="56">
        <v>3</v>
      </c>
      <c r="H26" s="57" t="s">
        <v>27</v>
      </c>
      <c r="I26" s="71" t="s">
        <v>76</v>
      </c>
    </row>
    <row r="27" spans="1:9">
      <c r="A27" s="90" t="s">
        <v>77</v>
      </c>
      <c r="B27" s="53" t="s">
        <v>38</v>
      </c>
      <c r="C27" s="53" t="s">
        <v>10</v>
      </c>
      <c r="D27" s="53" t="s">
        <v>12</v>
      </c>
      <c r="E27" s="54">
        <v>91005</v>
      </c>
      <c r="F27" s="55">
        <v>42176</v>
      </c>
      <c r="G27" s="56">
        <v>1</v>
      </c>
      <c r="H27" s="57" t="s">
        <v>18</v>
      </c>
      <c r="I27" s="71" t="s">
        <v>78</v>
      </c>
    </row>
    <row r="28" spans="1:9">
      <c r="A28" s="90" t="s">
        <v>79</v>
      </c>
      <c r="B28" s="53" t="s">
        <v>40</v>
      </c>
      <c r="C28" s="53" t="s">
        <v>12</v>
      </c>
      <c r="D28" s="53" t="s">
        <v>12</v>
      </c>
      <c r="E28" s="54">
        <v>52272</v>
      </c>
      <c r="F28" s="55">
        <v>42183</v>
      </c>
      <c r="G28" s="56">
        <v>3</v>
      </c>
      <c r="H28" s="57" t="s">
        <v>12</v>
      </c>
      <c r="I28" s="71" t="s">
        <v>80</v>
      </c>
    </row>
    <row r="29" spans="1:9">
      <c r="A29" s="90" t="s">
        <v>81</v>
      </c>
      <c r="B29" s="53" t="s">
        <v>15</v>
      </c>
      <c r="C29" s="53" t="s">
        <v>25</v>
      </c>
      <c r="D29" s="53" t="s">
        <v>17</v>
      </c>
      <c r="E29" s="54">
        <v>76518</v>
      </c>
      <c r="F29" s="55">
        <v>42190</v>
      </c>
      <c r="G29" s="56">
        <v>2</v>
      </c>
      <c r="H29" s="57" t="s">
        <v>35</v>
      </c>
      <c r="I29" s="71" t="s">
        <v>82</v>
      </c>
    </row>
    <row r="30" spans="1:9">
      <c r="A30" s="90" t="s">
        <v>83</v>
      </c>
      <c r="B30" s="53" t="s">
        <v>21</v>
      </c>
      <c r="C30" s="53" t="s">
        <v>33</v>
      </c>
      <c r="D30" s="53" t="s">
        <v>46</v>
      </c>
      <c r="E30" s="54">
        <v>41448</v>
      </c>
      <c r="F30" s="55">
        <v>42197</v>
      </c>
      <c r="G30" s="56">
        <v>3</v>
      </c>
      <c r="H30" s="57" t="s">
        <v>18</v>
      </c>
      <c r="I30" s="71" t="s">
        <v>84</v>
      </c>
    </row>
    <row r="31" spans="1:9">
      <c r="A31" s="90" t="s">
        <v>85</v>
      </c>
      <c r="B31" s="53" t="s">
        <v>24</v>
      </c>
      <c r="C31" s="53" t="s">
        <v>16</v>
      </c>
      <c r="D31" s="53" t="s">
        <v>46</v>
      </c>
      <c r="E31" s="54">
        <v>49282</v>
      </c>
      <c r="F31" s="55">
        <v>42204</v>
      </c>
      <c r="G31" s="56">
        <v>2</v>
      </c>
      <c r="H31" s="57" t="s">
        <v>35</v>
      </c>
      <c r="I31" s="71" t="s">
        <v>86</v>
      </c>
    </row>
    <row r="32" spans="1:9">
      <c r="A32" s="90" t="s">
        <v>87</v>
      </c>
      <c r="B32" s="53" t="s">
        <v>53</v>
      </c>
      <c r="C32" s="53" t="s">
        <v>41</v>
      </c>
      <c r="D32" s="53" t="s">
        <v>46</v>
      </c>
      <c r="E32" s="54">
        <v>92959</v>
      </c>
      <c r="F32" s="55">
        <v>42211</v>
      </c>
      <c r="G32" s="56">
        <v>5</v>
      </c>
      <c r="H32" s="57" t="s">
        <v>12</v>
      </c>
      <c r="I32" s="71" t="s">
        <v>88</v>
      </c>
    </row>
    <row r="33" spans="1:9">
      <c r="A33" s="90" t="s">
        <v>89</v>
      </c>
      <c r="B33" s="53" t="s">
        <v>12</v>
      </c>
      <c r="C33" s="67" t="s">
        <v>41</v>
      </c>
      <c r="D33" s="53" t="s">
        <v>12</v>
      </c>
      <c r="E33" s="54">
        <v>92259</v>
      </c>
      <c r="F33" s="55" t="s">
        <v>12</v>
      </c>
      <c r="G33" s="56">
        <v>1</v>
      </c>
      <c r="H33" s="57" t="s">
        <v>12</v>
      </c>
      <c r="I33" s="71" t="s">
        <v>90</v>
      </c>
    </row>
    <row r="34" spans="1:9">
      <c r="A34" s="90" t="s">
        <v>91</v>
      </c>
      <c r="B34" s="53" t="s">
        <v>15</v>
      </c>
      <c r="C34" s="53" t="s">
        <v>16</v>
      </c>
      <c r="D34" s="53" t="s">
        <v>17</v>
      </c>
      <c r="E34" s="54">
        <v>92299</v>
      </c>
      <c r="F34" s="55">
        <v>42225</v>
      </c>
      <c r="G34" s="56">
        <v>3</v>
      </c>
      <c r="H34" s="57" t="s">
        <v>27</v>
      </c>
      <c r="I34" s="71" t="s">
        <v>92</v>
      </c>
    </row>
    <row r="35" spans="1:9">
      <c r="A35" s="90" t="s">
        <v>93</v>
      </c>
      <c r="B35" s="53" t="s">
        <v>38</v>
      </c>
      <c r="C35" s="53" t="s">
        <v>16</v>
      </c>
      <c r="D35" s="53" t="s">
        <v>12</v>
      </c>
      <c r="E35" s="54">
        <v>95586</v>
      </c>
      <c r="F35" s="55">
        <v>42232</v>
      </c>
      <c r="G35" s="56">
        <v>3</v>
      </c>
      <c r="H35" s="57" t="s">
        <v>18</v>
      </c>
      <c r="I35" s="71" t="s">
        <v>94</v>
      </c>
    </row>
    <row r="36" spans="1:9">
      <c r="A36" s="90" t="s">
        <v>95</v>
      </c>
      <c r="B36" s="53" t="s">
        <v>40</v>
      </c>
      <c r="C36" s="53" t="s">
        <v>12</v>
      </c>
      <c r="D36" s="53" t="s">
        <v>26</v>
      </c>
      <c r="E36" s="54">
        <v>95367</v>
      </c>
      <c r="F36" s="55">
        <v>42239</v>
      </c>
      <c r="G36" s="56">
        <v>2.9381443298969074</v>
      </c>
      <c r="H36" s="57" t="s">
        <v>27</v>
      </c>
      <c r="I36" s="71" t="s">
        <v>96</v>
      </c>
    </row>
    <row r="37" spans="1:9">
      <c r="A37" s="90" t="s">
        <v>97</v>
      </c>
      <c r="B37" s="53" t="s">
        <v>24</v>
      </c>
      <c r="C37" s="53" t="s">
        <v>25</v>
      </c>
      <c r="D37" s="53" t="s">
        <v>63</v>
      </c>
      <c r="E37" s="54">
        <v>79549</v>
      </c>
      <c r="F37" s="55">
        <v>42246</v>
      </c>
      <c r="G37" s="56">
        <v>3</v>
      </c>
      <c r="H37" s="57" t="s">
        <v>12</v>
      </c>
      <c r="I37" s="71" t="s">
        <v>98</v>
      </c>
    </row>
    <row r="38" spans="1:9">
      <c r="A38" s="90" t="s">
        <v>99</v>
      </c>
      <c r="B38" s="67" t="s">
        <v>21</v>
      </c>
      <c r="C38" s="53" t="s">
        <v>12</v>
      </c>
      <c r="D38" s="53" t="s">
        <v>46</v>
      </c>
      <c r="E38" s="54">
        <v>54463</v>
      </c>
      <c r="F38" s="55">
        <v>42253</v>
      </c>
      <c r="G38" s="56">
        <v>4</v>
      </c>
      <c r="H38" s="57" t="s">
        <v>27</v>
      </c>
      <c r="I38" s="71" t="s">
        <v>12</v>
      </c>
    </row>
    <row r="39" spans="1:9">
      <c r="A39" s="90" t="s">
        <v>100</v>
      </c>
      <c r="B39" s="53" t="s">
        <v>21</v>
      </c>
      <c r="C39" s="53" t="s">
        <v>33</v>
      </c>
      <c r="D39" s="53" t="s">
        <v>26</v>
      </c>
      <c r="E39" s="54">
        <v>89781</v>
      </c>
      <c r="F39" s="55">
        <v>42260</v>
      </c>
      <c r="G39" s="56">
        <v>2.9263157894736844</v>
      </c>
      <c r="H39" s="57" t="s">
        <v>35</v>
      </c>
      <c r="I39" s="71" t="s">
        <v>101</v>
      </c>
    </row>
    <row r="40" spans="1:9">
      <c r="A40" s="90" t="s">
        <v>102</v>
      </c>
      <c r="B40" s="53" t="s">
        <v>21</v>
      </c>
      <c r="C40" s="53" t="s">
        <v>16</v>
      </c>
      <c r="D40" s="53" t="s">
        <v>12</v>
      </c>
      <c r="E40" s="54">
        <v>64796</v>
      </c>
      <c r="F40" s="55">
        <v>42267</v>
      </c>
      <c r="G40" s="56">
        <v>2.9263157894736844</v>
      </c>
      <c r="H40" s="57" t="s">
        <v>18</v>
      </c>
      <c r="I40" s="71" t="s">
        <v>103</v>
      </c>
    </row>
    <row r="41" spans="1:9">
      <c r="A41" s="90" t="s">
        <v>104</v>
      </c>
      <c r="B41" s="53" t="s">
        <v>24</v>
      </c>
      <c r="C41" s="53" t="s">
        <v>41</v>
      </c>
      <c r="D41" s="53" t="s">
        <v>46</v>
      </c>
      <c r="E41" s="54">
        <v>52093</v>
      </c>
      <c r="F41" s="55">
        <v>42274</v>
      </c>
      <c r="G41" s="56">
        <v>5</v>
      </c>
      <c r="H41" s="57" t="s">
        <v>12</v>
      </c>
      <c r="I41" s="71" t="s">
        <v>105</v>
      </c>
    </row>
    <row r="42" spans="1:9">
      <c r="A42" s="90" t="s">
        <v>106</v>
      </c>
      <c r="B42" s="53" t="s">
        <v>40</v>
      </c>
      <c r="C42" s="53" t="s">
        <v>16</v>
      </c>
      <c r="D42" s="53" t="s">
        <v>46</v>
      </c>
      <c r="E42" s="54">
        <v>48224</v>
      </c>
      <c r="F42" s="55">
        <v>42281</v>
      </c>
      <c r="G42" s="56">
        <v>3</v>
      </c>
      <c r="H42" s="57" t="s">
        <v>12</v>
      </c>
      <c r="I42" s="71" t="s">
        <v>107</v>
      </c>
    </row>
    <row r="43" spans="1:9">
      <c r="A43" s="90" t="s">
        <v>108</v>
      </c>
      <c r="B43" s="53" t="s">
        <v>53</v>
      </c>
      <c r="C43" s="53" t="s">
        <v>10</v>
      </c>
      <c r="D43" s="53" t="s">
        <v>46</v>
      </c>
      <c r="E43" s="54">
        <v>64268.634615384617</v>
      </c>
      <c r="F43" s="55" t="s">
        <v>12</v>
      </c>
      <c r="G43" s="56">
        <v>4</v>
      </c>
      <c r="H43" s="57" t="s">
        <v>35</v>
      </c>
      <c r="I43" s="71" t="s">
        <v>109</v>
      </c>
    </row>
    <row r="44" spans="1:9">
      <c r="A44" s="90" t="s">
        <v>110</v>
      </c>
      <c r="B44" s="53" t="s">
        <v>21</v>
      </c>
      <c r="C44" s="53" t="s">
        <v>33</v>
      </c>
      <c r="D44" s="53" t="s">
        <v>17</v>
      </c>
      <c r="E44" s="54">
        <v>33956</v>
      </c>
      <c r="F44" s="55">
        <v>42295</v>
      </c>
      <c r="G44" s="56">
        <v>2.8913043478260869</v>
      </c>
      <c r="H44" s="57" t="s">
        <v>12</v>
      </c>
      <c r="I44" s="71" t="s">
        <v>111</v>
      </c>
    </row>
    <row r="45" spans="1:9">
      <c r="A45" s="90" t="s">
        <v>112</v>
      </c>
      <c r="B45" s="67" t="s">
        <v>53</v>
      </c>
      <c r="C45" s="53" t="s">
        <v>12</v>
      </c>
      <c r="D45" s="53" t="s">
        <v>63</v>
      </c>
      <c r="E45" s="54">
        <v>64913</v>
      </c>
      <c r="F45" s="55">
        <v>42302</v>
      </c>
      <c r="G45" s="56">
        <v>1</v>
      </c>
      <c r="H45" s="57" t="s">
        <v>35</v>
      </c>
      <c r="I45" s="71" t="s">
        <v>113</v>
      </c>
    </row>
    <row r="46" spans="1:9">
      <c r="A46" s="90" t="s">
        <v>114</v>
      </c>
      <c r="B46" s="53" t="s">
        <v>21</v>
      </c>
      <c r="C46" s="53" t="s">
        <v>41</v>
      </c>
      <c r="D46" s="53" t="s">
        <v>63</v>
      </c>
      <c r="E46" s="54">
        <v>35326</v>
      </c>
      <c r="F46" s="55">
        <v>42309</v>
      </c>
      <c r="G46" s="56">
        <v>2.912087912087912</v>
      </c>
      <c r="H46" s="57" t="s">
        <v>35</v>
      </c>
      <c r="I46" s="71" t="s">
        <v>115</v>
      </c>
    </row>
    <row r="47" spans="1:9">
      <c r="A47" s="90" t="s">
        <v>116</v>
      </c>
      <c r="B47" s="53" t="s">
        <v>40</v>
      </c>
      <c r="C47" s="53" t="s">
        <v>10</v>
      </c>
      <c r="D47" s="53" t="s">
        <v>12</v>
      </c>
      <c r="E47" s="54">
        <v>81610</v>
      </c>
      <c r="F47" s="55">
        <v>42316</v>
      </c>
      <c r="G47" s="56">
        <v>1</v>
      </c>
      <c r="H47" s="57" t="s">
        <v>12</v>
      </c>
      <c r="I47" s="71" t="s">
        <v>117</v>
      </c>
    </row>
    <row r="48" spans="1:9">
      <c r="A48" s="90" t="s">
        <v>118</v>
      </c>
      <c r="B48" s="53" t="s">
        <v>12</v>
      </c>
      <c r="C48" s="53" t="s">
        <v>16</v>
      </c>
      <c r="D48" s="53" t="s">
        <v>12</v>
      </c>
      <c r="E48" s="54">
        <v>58962</v>
      </c>
      <c r="F48" s="55">
        <v>42323</v>
      </c>
      <c r="G48" s="56">
        <v>3</v>
      </c>
      <c r="H48" s="57" t="s">
        <v>18</v>
      </c>
      <c r="I48" s="71" t="s">
        <v>19</v>
      </c>
    </row>
    <row r="49" spans="1:9">
      <c r="A49" s="90" t="s">
        <v>119</v>
      </c>
      <c r="B49" s="53" t="s">
        <v>40</v>
      </c>
      <c r="C49" s="53" t="s">
        <v>33</v>
      </c>
      <c r="D49" s="53" t="s">
        <v>17</v>
      </c>
      <c r="E49" s="54">
        <v>92701</v>
      </c>
      <c r="F49" s="55">
        <v>42330</v>
      </c>
      <c r="G49" s="56">
        <v>3</v>
      </c>
      <c r="H49" s="57" t="s">
        <v>18</v>
      </c>
      <c r="I49" s="71" t="s">
        <v>120</v>
      </c>
    </row>
    <row r="50" spans="1:9">
      <c r="A50" s="90" t="s">
        <v>121</v>
      </c>
      <c r="B50" s="53" t="s">
        <v>40</v>
      </c>
      <c r="C50" s="53" t="s">
        <v>16</v>
      </c>
      <c r="D50" s="53" t="s">
        <v>34</v>
      </c>
      <c r="E50" s="54">
        <v>58245</v>
      </c>
      <c r="F50" s="55">
        <v>42337</v>
      </c>
      <c r="G50" s="56">
        <v>4</v>
      </c>
      <c r="H50" s="57" t="s">
        <v>12</v>
      </c>
      <c r="I50" s="71" t="s">
        <v>122</v>
      </c>
    </row>
    <row r="51" spans="1:9">
      <c r="A51" s="90" t="s">
        <v>123</v>
      </c>
      <c r="B51" s="53" t="s">
        <v>24</v>
      </c>
      <c r="C51" s="53" t="s">
        <v>10</v>
      </c>
      <c r="D51" s="53" t="s">
        <v>12</v>
      </c>
      <c r="E51" s="54">
        <v>66513</v>
      </c>
      <c r="F51" s="55">
        <v>42344</v>
      </c>
      <c r="G51" s="56">
        <v>2</v>
      </c>
      <c r="H51" s="57" t="s">
        <v>18</v>
      </c>
      <c r="I51" s="71" t="s">
        <v>36</v>
      </c>
    </row>
    <row r="52" spans="1:9">
      <c r="A52" s="90" t="s">
        <v>124</v>
      </c>
      <c r="B52" s="53" t="s">
        <v>15</v>
      </c>
      <c r="C52" s="53" t="s">
        <v>16</v>
      </c>
      <c r="D52" s="53" t="s">
        <v>17</v>
      </c>
      <c r="E52" s="54">
        <v>78720</v>
      </c>
      <c r="F52" s="55">
        <v>42351</v>
      </c>
      <c r="G52" s="56">
        <v>5</v>
      </c>
      <c r="H52" s="57" t="s">
        <v>35</v>
      </c>
      <c r="I52" s="71" t="s">
        <v>109</v>
      </c>
    </row>
    <row r="53" spans="1:9">
      <c r="A53" s="90" t="s">
        <v>125</v>
      </c>
      <c r="B53" s="53" t="s">
        <v>40</v>
      </c>
      <c r="C53" s="53" t="s">
        <v>12</v>
      </c>
      <c r="D53" s="53" t="s">
        <v>12</v>
      </c>
      <c r="E53" s="54">
        <v>30686</v>
      </c>
      <c r="F53" s="55" t="s">
        <v>12</v>
      </c>
      <c r="G53" s="56">
        <v>2</v>
      </c>
      <c r="H53" s="57" t="s">
        <v>35</v>
      </c>
      <c r="I53" s="71" t="s">
        <v>126</v>
      </c>
    </row>
    <row r="54" spans="1:9">
      <c r="A54" s="90" t="s">
        <v>127</v>
      </c>
      <c r="B54" s="53" t="s">
        <v>38</v>
      </c>
      <c r="C54" s="53" t="s">
        <v>25</v>
      </c>
      <c r="D54" s="53" t="s">
        <v>34</v>
      </c>
      <c r="E54" s="54">
        <v>39423</v>
      </c>
      <c r="F54" s="55">
        <v>42365</v>
      </c>
      <c r="G54" s="56">
        <v>5</v>
      </c>
      <c r="H54" s="57" t="s">
        <v>12</v>
      </c>
      <c r="I54" s="71" t="s">
        <v>128</v>
      </c>
    </row>
    <row r="55" spans="1:9">
      <c r="A55" s="90" t="s">
        <v>129</v>
      </c>
      <c r="B55" s="53" t="s">
        <v>15</v>
      </c>
      <c r="C55" s="67" t="s">
        <v>41</v>
      </c>
      <c r="D55" s="53" t="s">
        <v>12</v>
      </c>
      <c r="E55" s="54">
        <v>30280</v>
      </c>
      <c r="F55" s="55">
        <v>42372</v>
      </c>
      <c r="G55" s="56">
        <v>1</v>
      </c>
      <c r="H55" s="57" t="s">
        <v>12</v>
      </c>
      <c r="I55" s="71" t="s">
        <v>130</v>
      </c>
    </row>
    <row r="56" spans="1:9">
      <c r="A56" s="90" t="s">
        <v>131</v>
      </c>
      <c r="B56" s="53" t="s">
        <v>15</v>
      </c>
      <c r="C56" s="53" t="s">
        <v>10</v>
      </c>
      <c r="D56" s="53" t="s">
        <v>46</v>
      </c>
      <c r="E56" s="54">
        <v>33352</v>
      </c>
      <c r="F56" s="55">
        <v>42379</v>
      </c>
      <c r="G56" s="56">
        <v>3</v>
      </c>
      <c r="H56" s="57" t="s">
        <v>35</v>
      </c>
      <c r="I56" s="71" t="s">
        <v>70</v>
      </c>
    </row>
    <row r="57" spans="1:9">
      <c r="A57" s="90" t="s">
        <v>132</v>
      </c>
      <c r="B57" s="53" t="s">
        <v>53</v>
      </c>
      <c r="C57" s="53" t="s">
        <v>41</v>
      </c>
      <c r="D57" s="53" t="s">
        <v>46</v>
      </c>
      <c r="E57" s="54">
        <v>75633</v>
      </c>
      <c r="F57" s="55">
        <v>42386</v>
      </c>
      <c r="G57" s="56">
        <v>5</v>
      </c>
      <c r="H57" s="57" t="s">
        <v>18</v>
      </c>
      <c r="I57" s="71" t="s">
        <v>133</v>
      </c>
    </row>
    <row r="58" spans="1:9">
      <c r="A58" s="90" t="s">
        <v>134</v>
      </c>
      <c r="B58" s="53" t="s">
        <v>40</v>
      </c>
      <c r="C58" s="53" t="s">
        <v>12</v>
      </c>
      <c r="D58" s="53" t="s">
        <v>26</v>
      </c>
      <c r="E58" s="54">
        <v>74815</v>
      </c>
      <c r="F58" s="55">
        <v>42393</v>
      </c>
      <c r="G58" s="56">
        <v>5</v>
      </c>
      <c r="H58" s="57" t="s">
        <v>35</v>
      </c>
      <c r="I58" s="71" t="s">
        <v>135</v>
      </c>
    </row>
    <row r="59" spans="1:9">
      <c r="A59" s="90" t="s">
        <v>136</v>
      </c>
      <c r="B59" s="53" t="s">
        <v>24</v>
      </c>
      <c r="C59" s="53" t="s">
        <v>25</v>
      </c>
      <c r="D59" s="53" t="s">
        <v>63</v>
      </c>
      <c r="E59" s="54">
        <v>60011</v>
      </c>
      <c r="F59" s="55">
        <v>42400</v>
      </c>
      <c r="G59" s="56">
        <v>1</v>
      </c>
      <c r="H59" s="57" t="s">
        <v>27</v>
      </c>
      <c r="I59" s="71" t="s">
        <v>137</v>
      </c>
    </row>
    <row r="60" spans="1:9">
      <c r="A60" s="90" t="s">
        <v>138</v>
      </c>
      <c r="B60" s="67" t="s">
        <v>15</v>
      </c>
      <c r="C60" s="53" t="s">
        <v>12</v>
      </c>
      <c r="D60" s="53" t="s">
        <v>34</v>
      </c>
      <c r="E60" s="54">
        <v>96949</v>
      </c>
      <c r="F60" s="55">
        <v>42407</v>
      </c>
      <c r="G60" s="56">
        <v>3</v>
      </c>
      <c r="H60" s="57" t="s">
        <v>12</v>
      </c>
      <c r="I60" s="71" t="s">
        <v>84</v>
      </c>
    </row>
    <row r="61" spans="1:9">
      <c r="A61" s="90" t="s">
        <v>139</v>
      </c>
      <c r="B61" s="53" t="s">
        <v>38</v>
      </c>
      <c r="C61" s="67" t="s">
        <v>41</v>
      </c>
      <c r="D61" s="53" t="s">
        <v>12</v>
      </c>
      <c r="E61" s="54">
        <v>84924</v>
      </c>
      <c r="F61" s="55">
        <v>42414</v>
      </c>
      <c r="G61" s="56">
        <v>5</v>
      </c>
      <c r="H61" s="57" t="s">
        <v>27</v>
      </c>
      <c r="I61" s="71" t="s">
        <v>140</v>
      </c>
    </row>
    <row r="62" spans="1:9">
      <c r="A62" s="90" t="s">
        <v>141</v>
      </c>
      <c r="B62" s="53" t="s">
        <v>38</v>
      </c>
      <c r="C62" s="53" t="s">
        <v>10</v>
      </c>
      <c r="D62" s="53" t="s">
        <v>26</v>
      </c>
      <c r="E62" s="54">
        <v>82033</v>
      </c>
      <c r="F62" s="55">
        <v>42421</v>
      </c>
      <c r="G62" s="56">
        <v>1</v>
      </c>
      <c r="H62" s="57" t="s">
        <v>12</v>
      </c>
      <c r="I62" s="71" t="s">
        <v>117</v>
      </c>
    </row>
    <row r="63" spans="1:9">
      <c r="A63" s="90" t="s">
        <v>142</v>
      </c>
      <c r="B63" s="53" t="s">
        <v>12</v>
      </c>
      <c r="C63" s="53" t="s">
        <v>41</v>
      </c>
      <c r="D63" s="53" t="s">
        <v>17</v>
      </c>
      <c r="E63" s="54">
        <v>64763.364705882355</v>
      </c>
      <c r="F63" s="55" t="s">
        <v>12</v>
      </c>
      <c r="G63" s="56">
        <v>5</v>
      </c>
      <c r="H63" s="57" t="s">
        <v>12</v>
      </c>
      <c r="I63" s="71" t="s">
        <v>143</v>
      </c>
    </row>
    <row r="64" spans="1:9">
      <c r="A64" s="90" t="s">
        <v>144</v>
      </c>
      <c r="B64" s="67" t="s">
        <v>15</v>
      </c>
      <c r="C64" s="53" t="s">
        <v>12</v>
      </c>
      <c r="D64" s="53" t="s">
        <v>63</v>
      </c>
      <c r="E64" s="54">
        <v>31499</v>
      </c>
      <c r="F64" s="55">
        <v>42435</v>
      </c>
      <c r="G64" s="56">
        <v>2</v>
      </c>
      <c r="H64" s="57" t="s">
        <v>12</v>
      </c>
      <c r="I64" s="71" t="s">
        <v>101</v>
      </c>
    </row>
    <row r="65" spans="1:9">
      <c r="A65" s="90" t="s">
        <v>145</v>
      </c>
      <c r="B65" s="53" t="s">
        <v>40</v>
      </c>
      <c r="C65" s="53" t="s">
        <v>33</v>
      </c>
      <c r="D65" s="53" t="s">
        <v>46</v>
      </c>
      <c r="E65" s="54">
        <v>97981</v>
      </c>
      <c r="F65" s="55">
        <v>42442</v>
      </c>
      <c r="G65" s="56">
        <v>5</v>
      </c>
      <c r="H65" s="57" t="s">
        <v>35</v>
      </c>
      <c r="I65" s="71" t="s">
        <v>146</v>
      </c>
    </row>
    <row r="66" spans="1:9">
      <c r="A66" s="90" t="s">
        <v>147</v>
      </c>
      <c r="B66" s="53" t="s">
        <v>15</v>
      </c>
      <c r="C66" s="53" t="s">
        <v>16</v>
      </c>
      <c r="D66" s="53" t="s">
        <v>26</v>
      </c>
      <c r="E66" s="54">
        <v>36541</v>
      </c>
      <c r="F66" s="55">
        <v>42449</v>
      </c>
      <c r="G66" s="56">
        <v>2</v>
      </c>
      <c r="H66" s="57" t="s">
        <v>18</v>
      </c>
      <c r="I66" s="71" t="s">
        <v>148</v>
      </c>
    </row>
    <row r="67" spans="1:9">
      <c r="A67" s="90" t="s">
        <v>149</v>
      </c>
      <c r="B67" s="53" t="s">
        <v>24</v>
      </c>
      <c r="C67" s="53" t="s">
        <v>33</v>
      </c>
      <c r="D67" s="53" t="s">
        <v>34</v>
      </c>
      <c r="E67" s="54">
        <v>84737</v>
      </c>
      <c r="F67" s="55">
        <v>42456</v>
      </c>
      <c r="G67" s="56">
        <v>1</v>
      </c>
      <c r="H67" s="57" t="s">
        <v>27</v>
      </c>
      <c r="I67" s="71" t="s">
        <v>150</v>
      </c>
    </row>
    <row r="68" spans="1:9">
      <c r="A68" s="90" t="s">
        <v>151</v>
      </c>
      <c r="B68" s="53" t="s">
        <v>38</v>
      </c>
      <c r="C68" s="53" t="s">
        <v>10</v>
      </c>
      <c r="D68" s="53" t="s">
        <v>34</v>
      </c>
      <c r="E68" s="54">
        <v>33468</v>
      </c>
      <c r="F68" s="55">
        <v>42463</v>
      </c>
      <c r="G68" s="56">
        <v>4</v>
      </c>
      <c r="H68" s="57" t="s">
        <v>27</v>
      </c>
      <c r="I68" s="71" t="s">
        <v>152</v>
      </c>
    </row>
    <row r="69" spans="1:9">
      <c r="A69" s="90" t="s">
        <v>153</v>
      </c>
      <c r="B69" s="67" t="s">
        <v>38</v>
      </c>
      <c r="C69" s="53" t="s">
        <v>12</v>
      </c>
      <c r="D69" s="53" t="s">
        <v>63</v>
      </c>
      <c r="E69" s="54">
        <v>96365</v>
      </c>
      <c r="F69" s="55">
        <v>42470</v>
      </c>
      <c r="G69" s="56">
        <v>3</v>
      </c>
      <c r="H69" s="57" t="s">
        <v>18</v>
      </c>
      <c r="I69" s="71" t="s">
        <v>154</v>
      </c>
    </row>
    <row r="70" spans="1:9">
      <c r="A70" s="90" t="s">
        <v>155</v>
      </c>
      <c r="B70" s="53" t="s">
        <v>21</v>
      </c>
      <c r="C70" s="53" t="s">
        <v>25</v>
      </c>
      <c r="D70" s="53" t="s">
        <v>34</v>
      </c>
      <c r="E70" s="54">
        <v>61942</v>
      </c>
      <c r="F70" s="55">
        <v>42477</v>
      </c>
      <c r="G70" s="56">
        <v>3</v>
      </c>
      <c r="H70" s="57" t="s">
        <v>35</v>
      </c>
      <c r="I70" s="71" t="s">
        <v>156</v>
      </c>
    </row>
    <row r="71" spans="1:9">
      <c r="A71" s="90" t="s">
        <v>157</v>
      </c>
      <c r="B71" s="53" t="s">
        <v>38</v>
      </c>
      <c r="C71" s="53" t="s">
        <v>10</v>
      </c>
      <c r="D71" s="53" t="s">
        <v>46</v>
      </c>
      <c r="E71" s="54">
        <v>41467</v>
      </c>
      <c r="F71" s="55">
        <v>42484</v>
      </c>
      <c r="G71" s="56">
        <v>2</v>
      </c>
      <c r="H71" s="57" t="s">
        <v>12</v>
      </c>
      <c r="I71" s="71" t="s">
        <v>72</v>
      </c>
    </row>
    <row r="72" spans="1:9">
      <c r="A72" s="90" t="s">
        <v>158</v>
      </c>
      <c r="B72" s="53" t="s">
        <v>53</v>
      </c>
      <c r="C72" s="53" t="s">
        <v>10</v>
      </c>
      <c r="D72" s="53" t="s">
        <v>34</v>
      </c>
      <c r="E72" s="54">
        <v>77096</v>
      </c>
      <c r="F72" s="55">
        <v>42491</v>
      </c>
      <c r="G72" s="56">
        <v>1</v>
      </c>
      <c r="H72" s="57" t="s">
        <v>12</v>
      </c>
      <c r="I72" s="71" t="s">
        <v>159</v>
      </c>
    </row>
    <row r="73" spans="1:9">
      <c r="A73" s="90" t="s">
        <v>160</v>
      </c>
      <c r="B73" s="53" t="s">
        <v>15</v>
      </c>
      <c r="C73" s="53" t="s">
        <v>25</v>
      </c>
      <c r="D73" s="53" t="s">
        <v>63</v>
      </c>
      <c r="E73" s="54">
        <v>69952</v>
      </c>
      <c r="F73" s="55">
        <v>42498</v>
      </c>
      <c r="G73" s="56">
        <v>5</v>
      </c>
      <c r="H73" s="57" t="s">
        <v>35</v>
      </c>
      <c r="I73" s="71" t="s">
        <v>12</v>
      </c>
    </row>
    <row r="74" spans="1:9">
      <c r="A74" s="90" t="s">
        <v>161</v>
      </c>
      <c r="B74" s="53" t="s">
        <v>15</v>
      </c>
      <c r="C74" s="53" t="s">
        <v>41</v>
      </c>
      <c r="D74" s="53" t="s">
        <v>26</v>
      </c>
      <c r="E74" s="54">
        <v>85065</v>
      </c>
      <c r="F74" s="55">
        <v>42505</v>
      </c>
      <c r="G74" s="56">
        <v>3</v>
      </c>
      <c r="H74" s="57" t="s">
        <v>12</v>
      </c>
      <c r="I74" s="71" t="s">
        <v>162</v>
      </c>
    </row>
    <row r="75" spans="1:9">
      <c r="A75" s="90" t="s">
        <v>163</v>
      </c>
      <c r="B75" s="53" t="s">
        <v>53</v>
      </c>
      <c r="C75" s="53" t="s">
        <v>41</v>
      </c>
      <c r="D75" s="53" t="s">
        <v>34</v>
      </c>
      <c r="E75" s="54">
        <v>56512</v>
      </c>
      <c r="F75" s="55">
        <v>42512</v>
      </c>
      <c r="G75" s="56">
        <v>2.8571428571428572</v>
      </c>
      <c r="H75" s="57" t="s">
        <v>18</v>
      </c>
      <c r="I75" s="71" t="s">
        <v>47</v>
      </c>
    </row>
    <row r="76" spans="1:9">
      <c r="A76" s="90" t="s">
        <v>164</v>
      </c>
      <c r="B76" s="53" t="s">
        <v>24</v>
      </c>
      <c r="C76" s="53" t="s">
        <v>25</v>
      </c>
      <c r="D76" s="53" t="s">
        <v>34</v>
      </c>
      <c r="E76" s="54">
        <v>91101</v>
      </c>
      <c r="F76" s="55">
        <v>42519</v>
      </c>
      <c r="G76" s="56">
        <v>4</v>
      </c>
      <c r="H76" s="57" t="s">
        <v>35</v>
      </c>
      <c r="I76" s="71" t="s">
        <v>146</v>
      </c>
    </row>
    <row r="77" spans="1:9">
      <c r="A77" s="90" t="s">
        <v>165</v>
      </c>
      <c r="B77" s="67" t="s">
        <v>38</v>
      </c>
      <c r="C77" s="53" t="s">
        <v>12</v>
      </c>
      <c r="D77" s="53" t="s">
        <v>17</v>
      </c>
      <c r="E77" s="54">
        <v>41243</v>
      </c>
      <c r="F77" s="55">
        <v>42526</v>
      </c>
      <c r="G77" s="56">
        <v>2.838709677419355</v>
      </c>
      <c r="H77" s="57" t="s">
        <v>12</v>
      </c>
      <c r="I77" s="71" t="s">
        <v>92</v>
      </c>
    </row>
    <row r="78" spans="1:9">
      <c r="A78" s="90" t="s">
        <v>166</v>
      </c>
      <c r="B78" s="53" t="s">
        <v>12</v>
      </c>
      <c r="C78" s="53" t="s">
        <v>25</v>
      </c>
      <c r="D78" s="53" t="s">
        <v>12</v>
      </c>
      <c r="E78" s="54">
        <v>96142</v>
      </c>
      <c r="F78" s="55">
        <v>42533</v>
      </c>
      <c r="G78" s="56">
        <v>1</v>
      </c>
      <c r="H78" s="57" t="s">
        <v>18</v>
      </c>
      <c r="I78" s="71" t="s">
        <v>167</v>
      </c>
    </row>
    <row r="79" spans="1:9">
      <c r="A79" s="90" t="s">
        <v>168</v>
      </c>
      <c r="B79" s="53" t="s">
        <v>15</v>
      </c>
      <c r="C79" s="53" t="s">
        <v>33</v>
      </c>
      <c r="D79" s="53" t="s">
        <v>34</v>
      </c>
      <c r="E79" s="54">
        <v>94301</v>
      </c>
      <c r="F79" s="55">
        <v>42540</v>
      </c>
      <c r="G79" s="56">
        <v>1</v>
      </c>
      <c r="H79" s="57" t="s">
        <v>27</v>
      </c>
      <c r="I79" s="71" t="s">
        <v>117</v>
      </c>
    </row>
    <row r="80" spans="1:9">
      <c r="A80" s="90" t="s">
        <v>169</v>
      </c>
      <c r="B80" s="67" t="s">
        <v>30</v>
      </c>
      <c r="C80" s="53" t="s">
        <v>12</v>
      </c>
      <c r="D80" s="53" t="s">
        <v>46</v>
      </c>
      <c r="E80" s="54">
        <v>69166</v>
      </c>
      <c r="F80" s="55">
        <v>42547</v>
      </c>
      <c r="G80" s="56">
        <v>1</v>
      </c>
      <c r="H80" s="57" t="s">
        <v>35</v>
      </c>
      <c r="I80" s="71" t="s">
        <v>170</v>
      </c>
    </row>
    <row r="81" spans="1:9">
      <c r="A81" s="90" t="s">
        <v>171</v>
      </c>
      <c r="B81" s="67" t="s">
        <v>38</v>
      </c>
      <c r="C81" s="53" t="s">
        <v>12</v>
      </c>
      <c r="D81" s="53" t="s">
        <v>46</v>
      </c>
      <c r="E81" s="54">
        <v>78245</v>
      </c>
      <c r="F81" s="55">
        <v>42554</v>
      </c>
      <c r="G81" s="56">
        <v>2</v>
      </c>
      <c r="H81" s="57" t="s">
        <v>12</v>
      </c>
      <c r="I81" s="71" t="s">
        <v>172</v>
      </c>
    </row>
    <row r="82" spans="1:9">
      <c r="A82" s="90" t="s">
        <v>173</v>
      </c>
      <c r="B82" s="53" t="s">
        <v>40</v>
      </c>
      <c r="C82" s="53" t="s">
        <v>25</v>
      </c>
      <c r="D82" s="53" t="s">
        <v>26</v>
      </c>
      <c r="E82" s="54">
        <v>66079</v>
      </c>
      <c r="F82" s="55">
        <v>42561</v>
      </c>
      <c r="G82" s="56">
        <v>2</v>
      </c>
      <c r="H82" s="57" t="s">
        <v>18</v>
      </c>
      <c r="I82" s="71" t="s">
        <v>174</v>
      </c>
    </row>
    <row r="83" spans="1:9">
      <c r="A83" s="90" t="s">
        <v>175</v>
      </c>
      <c r="B83" s="53" t="s">
        <v>15</v>
      </c>
      <c r="C83" s="53" t="s">
        <v>41</v>
      </c>
      <c r="D83" s="53" t="s">
        <v>34</v>
      </c>
      <c r="E83" s="54">
        <v>63575.515151515152</v>
      </c>
      <c r="F83" s="55" t="s">
        <v>12</v>
      </c>
      <c r="G83" s="56">
        <v>2.9649122807017543</v>
      </c>
      <c r="H83" s="57" t="s">
        <v>12</v>
      </c>
      <c r="I83" s="71" t="s">
        <v>86</v>
      </c>
    </row>
    <row r="84" spans="1:9">
      <c r="A84" s="90" t="s">
        <v>176</v>
      </c>
      <c r="B84" s="53" t="s">
        <v>30</v>
      </c>
      <c r="C84" s="53" t="s">
        <v>25</v>
      </c>
      <c r="D84" s="53" t="s">
        <v>26</v>
      </c>
      <c r="E84" s="54">
        <v>95621</v>
      </c>
      <c r="F84" s="55">
        <v>42575</v>
      </c>
      <c r="G84" s="56">
        <v>3</v>
      </c>
      <c r="H84" s="57" t="s">
        <v>35</v>
      </c>
      <c r="I84" s="71" t="s">
        <v>177</v>
      </c>
    </row>
    <row r="85" spans="1:9">
      <c r="A85" s="90" t="s">
        <v>178</v>
      </c>
      <c r="B85" s="53" t="s">
        <v>15</v>
      </c>
      <c r="C85" s="53" t="s">
        <v>33</v>
      </c>
      <c r="D85" s="53" t="s">
        <v>46</v>
      </c>
      <c r="E85" s="54">
        <v>42262</v>
      </c>
      <c r="F85" s="55">
        <v>42582</v>
      </c>
      <c r="G85" s="56">
        <v>1</v>
      </c>
      <c r="H85" s="57" t="s">
        <v>12</v>
      </c>
      <c r="I85" s="71" t="s">
        <v>179</v>
      </c>
    </row>
    <row r="86" spans="1:9">
      <c r="A86" s="90" t="s">
        <v>180</v>
      </c>
      <c r="B86" s="53" t="s">
        <v>38</v>
      </c>
      <c r="C86" s="53" t="s">
        <v>25</v>
      </c>
      <c r="D86" s="53" t="s">
        <v>34</v>
      </c>
      <c r="E86" s="54">
        <v>99621</v>
      </c>
      <c r="F86" s="55">
        <v>42589</v>
      </c>
      <c r="G86" s="56">
        <v>3</v>
      </c>
      <c r="H86" s="57" t="s">
        <v>18</v>
      </c>
      <c r="I86" s="71" t="s">
        <v>181</v>
      </c>
    </row>
    <row r="87" spans="1:9">
      <c r="A87" s="90" t="s">
        <v>182</v>
      </c>
      <c r="B87" s="53" t="s">
        <v>24</v>
      </c>
      <c r="C87" s="53" t="s">
        <v>41</v>
      </c>
      <c r="D87" s="53" t="s">
        <v>34</v>
      </c>
      <c r="E87" s="54">
        <v>44682</v>
      </c>
      <c r="F87" s="55">
        <v>42596</v>
      </c>
      <c r="G87" s="56">
        <v>4</v>
      </c>
      <c r="H87" s="57" t="s">
        <v>35</v>
      </c>
      <c r="I87" s="71" t="s">
        <v>111</v>
      </c>
    </row>
    <row r="88" spans="1:9">
      <c r="A88" s="90" t="s">
        <v>183</v>
      </c>
      <c r="B88" s="53" t="s">
        <v>40</v>
      </c>
      <c r="C88" s="53" t="s">
        <v>10</v>
      </c>
      <c r="D88" s="53" t="s">
        <v>12</v>
      </c>
      <c r="E88" s="54">
        <v>35163</v>
      </c>
      <c r="F88" s="55">
        <v>42603</v>
      </c>
      <c r="G88" s="56">
        <v>5</v>
      </c>
      <c r="H88" s="57" t="s">
        <v>18</v>
      </c>
      <c r="I88" s="71" t="s">
        <v>184</v>
      </c>
    </row>
    <row r="89" spans="1:9">
      <c r="A89" s="90" t="s">
        <v>185</v>
      </c>
      <c r="B89" s="53" t="s">
        <v>40</v>
      </c>
      <c r="C89" s="53" t="s">
        <v>33</v>
      </c>
      <c r="D89" s="53" t="s">
        <v>34</v>
      </c>
      <c r="E89" s="54">
        <v>33483</v>
      </c>
      <c r="F89" s="55">
        <v>42610</v>
      </c>
      <c r="G89" s="56">
        <v>4</v>
      </c>
      <c r="H89" s="57" t="s">
        <v>27</v>
      </c>
      <c r="I89" s="71" t="s">
        <v>186</v>
      </c>
    </row>
    <row r="90" spans="1:9">
      <c r="A90" s="90" t="s">
        <v>187</v>
      </c>
      <c r="B90" s="53" t="s">
        <v>38</v>
      </c>
      <c r="C90" s="53" t="s">
        <v>16</v>
      </c>
      <c r="D90" s="53" t="s">
        <v>17</v>
      </c>
      <c r="E90" s="54">
        <v>55303</v>
      </c>
      <c r="F90" s="55">
        <v>42617</v>
      </c>
      <c r="G90" s="56">
        <v>4</v>
      </c>
      <c r="H90" s="57" t="s">
        <v>27</v>
      </c>
      <c r="I90" s="71" t="s">
        <v>76</v>
      </c>
    </row>
    <row r="91" spans="1:9">
      <c r="A91" s="90" t="s">
        <v>188</v>
      </c>
      <c r="B91" s="53" t="s">
        <v>40</v>
      </c>
      <c r="C91" s="53" t="s">
        <v>33</v>
      </c>
      <c r="D91" s="53" t="s">
        <v>12</v>
      </c>
      <c r="E91" s="54">
        <v>63434</v>
      </c>
      <c r="F91" s="55">
        <v>42624</v>
      </c>
      <c r="G91" s="56">
        <v>3</v>
      </c>
      <c r="H91" s="57" t="s">
        <v>12</v>
      </c>
      <c r="I91" s="71" t="s">
        <v>189</v>
      </c>
    </row>
    <row r="92" spans="1:9">
      <c r="A92" s="90" t="s">
        <v>190</v>
      </c>
      <c r="B92" s="67" t="s">
        <v>30</v>
      </c>
      <c r="C92" s="53" t="s">
        <v>12</v>
      </c>
      <c r="D92" s="53" t="s">
        <v>63</v>
      </c>
      <c r="E92" s="54">
        <v>38830</v>
      </c>
      <c r="F92" s="55">
        <v>42631</v>
      </c>
      <c r="G92" s="56">
        <v>3</v>
      </c>
      <c r="H92" s="57" t="s">
        <v>18</v>
      </c>
      <c r="I92" s="71" t="s">
        <v>76</v>
      </c>
    </row>
    <row r="93" spans="1:9">
      <c r="A93" s="90" t="s">
        <v>191</v>
      </c>
      <c r="B93" s="53" t="s">
        <v>12</v>
      </c>
      <c r="C93" s="53" t="s">
        <v>41</v>
      </c>
      <c r="D93" s="53" t="s">
        <v>46</v>
      </c>
      <c r="E93" s="54">
        <v>50741</v>
      </c>
      <c r="F93" s="55">
        <v>42638</v>
      </c>
      <c r="G93" s="56">
        <v>3</v>
      </c>
      <c r="H93" s="57" t="s">
        <v>12</v>
      </c>
      <c r="I93" s="71" t="s">
        <v>159</v>
      </c>
    </row>
    <row r="94" spans="1:9">
      <c r="A94" s="90" t="s">
        <v>192</v>
      </c>
      <c r="B94" s="53" t="s">
        <v>21</v>
      </c>
      <c r="C94" s="53" t="s">
        <v>16</v>
      </c>
      <c r="D94" s="53" t="s">
        <v>63</v>
      </c>
      <c r="E94" s="54">
        <v>69420</v>
      </c>
      <c r="F94" s="55">
        <v>42645</v>
      </c>
      <c r="G94" s="56">
        <v>1</v>
      </c>
      <c r="H94" s="57" t="s">
        <v>27</v>
      </c>
      <c r="I94" s="71" t="s">
        <v>122</v>
      </c>
    </row>
    <row r="95" spans="1:9">
      <c r="A95" s="90" t="s">
        <v>193</v>
      </c>
      <c r="B95" s="53" t="s">
        <v>30</v>
      </c>
      <c r="C95" s="53" t="s">
        <v>33</v>
      </c>
      <c r="D95" s="53" t="s">
        <v>12</v>
      </c>
      <c r="E95" s="54">
        <v>80588</v>
      </c>
      <c r="F95" s="55">
        <v>42652</v>
      </c>
      <c r="G95" s="56">
        <v>5</v>
      </c>
      <c r="H95" s="57" t="s">
        <v>27</v>
      </c>
      <c r="I95" s="71" t="s">
        <v>103</v>
      </c>
    </row>
    <row r="96" spans="1:9">
      <c r="A96" s="90" t="s">
        <v>194</v>
      </c>
      <c r="B96" s="67" t="s">
        <v>21</v>
      </c>
      <c r="C96" s="53" t="s">
        <v>12</v>
      </c>
      <c r="D96" s="53" t="s">
        <v>26</v>
      </c>
      <c r="E96" s="54">
        <v>76238</v>
      </c>
      <c r="F96" s="55">
        <v>42659</v>
      </c>
      <c r="G96" s="56">
        <v>4</v>
      </c>
      <c r="H96" s="57" t="s">
        <v>27</v>
      </c>
      <c r="I96" s="71" t="s">
        <v>195</v>
      </c>
    </row>
    <row r="97" spans="1:9">
      <c r="A97" s="90" t="s">
        <v>196</v>
      </c>
      <c r="B97" s="53" t="s">
        <v>53</v>
      </c>
      <c r="C97" s="53" t="s">
        <v>33</v>
      </c>
      <c r="D97" s="53" t="s">
        <v>34</v>
      </c>
      <c r="E97" s="54">
        <v>33264</v>
      </c>
      <c r="F97" s="55">
        <v>42666</v>
      </c>
      <c r="G97" s="56">
        <v>2.8666666666666667</v>
      </c>
      <c r="H97" s="57" t="s">
        <v>35</v>
      </c>
      <c r="I97" s="71" t="s">
        <v>197</v>
      </c>
    </row>
    <row r="98" spans="1:9">
      <c r="A98" s="90" t="s">
        <v>198</v>
      </c>
      <c r="B98" s="53" t="s">
        <v>21</v>
      </c>
      <c r="C98" s="53" t="s">
        <v>10</v>
      </c>
      <c r="D98" s="53" t="s">
        <v>63</v>
      </c>
      <c r="E98" s="54">
        <v>96101</v>
      </c>
      <c r="F98" s="55">
        <v>42673</v>
      </c>
      <c r="G98" s="56">
        <v>2.8666666666666667</v>
      </c>
      <c r="H98" s="57" t="s">
        <v>18</v>
      </c>
      <c r="I98" s="71" t="s">
        <v>199</v>
      </c>
    </row>
    <row r="99" spans="1:9">
      <c r="A99" s="90" t="s">
        <v>200</v>
      </c>
      <c r="B99" s="53" t="s">
        <v>30</v>
      </c>
      <c r="C99" s="53" t="s">
        <v>10</v>
      </c>
      <c r="D99" s="53" t="s">
        <v>26</v>
      </c>
      <c r="E99" s="54">
        <v>72939</v>
      </c>
      <c r="F99" s="55">
        <v>42680</v>
      </c>
      <c r="G99" s="56">
        <v>3</v>
      </c>
      <c r="H99" s="57" t="s">
        <v>12</v>
      </c>
      <c r="I99" s="71" t="s">
        <v>201</v>
      </c>
    </row>
    <row r="100" spans="1:9">
      <c r="A100" s="90" t="s">
        <v>202</v>
      </c>
      <c r="B100" s="53" t="s">
        <v>38</v>
      </c>
      <c r="C100" s="53" t="s">
        <v>16</v>
      </c>
      <c r="D100" s="53" t="s">
        <v>17</v>
      </c>
      <c r="E100" s="54">
        <v>89333</v>
      </c>
      <c r="F100" s="55">
        <v>42687</v>
      </c>
      <c r="G100" s="56">
        <v>1</v>
      </c>
      <c r="H100" s="57" t="s">
        <v>27</v>
      </c>
      <c r="I100" s="71" t="s">
        <v>203</v>
      </c>
    </row>
    <row r="101" spans="1:9">
      <c r="A101" s="90" t="s">
        <v>204</v>
      </c>
      <c r="B101" s="53" t="s">
        <v>53</v>
      </c>
      <c r="C101" s="53" t="s">
        <v>33</v>
      </c>
      <c r="D101" s="53" t="s">
        <v>63</v>
      </c>
      <c r="E101" s="54">
        <v>70470</v>
      </c>
      <c r="F101" s="55">
        <v>42694</v>
      </c>
      <c r="G101" s="56">
        <v>2.9069767441860463</v>
      </c>
      <c r="H101" s="57" t="s">
        <v>27</v>
      </c>
      <c r="I101" s="71" t="s">
        <v>205</v>
      </c>
    </row>
    <row r="102" spans="1:9">
      <c r="A102" s="90" t="s">
        <v>206</v>
      </c>
      <c r="B102" s="53" t="s">
        <v>15</v>
      </c>
      <c r="C102" s="53" t="s">
        <v>41</v>
      </c>
      <c r="D102" s="53" t="s">
        <v>26</v>
      </c>
      <c r="E102" s="54">
        <v>70096</v>
      </c>
      <c r="F102" s="55">
        <v>42701</v>
      </c>
      <c r="G102" s="56">
        <v>4</v>
      </c>
      <c r="H102" s="57" t="s">
        <v>27</v>
      </c>
      <c r="I102" s="71" t="s">
        <v>207</v>
      </c>
    </row>
    <row r="103" spans="1:9">
      <c r="A103" s="90" t="s">
        <v>208</v>
      </c>
      <c r="B103" s="53" t="s">
        <v>53</v>
      </c>
      <c r="C103" s="53" t="s">
        <v>41</v>
      </c>
      <c r="D103" s="53" t="s">
        <v>12</v>
      </c>
      <c r="E103" s="54">
        <v>63370.106382978724</v>
      </c>
      <c r="F103" s="55">
        <v>42708</v>
      </c>
      <c r="G103" s="56">
        <v>2</v>
      </c>
      <c r="H103" s="57" t="s">
        <v>18</v>
      </c>
      <c r="I103" s="71" t="s">
        <v>209</v>
      </c>
    </row>
    <row r="104" spans="1:9">
      <c r="A104" s="90" t="s">
        <v>210</v>
      </c>
      <c r="B104" s="53" t="s">
        <v>53</v>
      </c>
      <c r="C104" s="53" t="s">
        <v>33</v>
      </c>
      <c r="D104" s="53" t="s">
        <v>17</v>
      </c>
      <c r="E104" s="54">
        <v>66503</v>
      </c>
      <c r="F104" s="55">
        <v>42715</v>
      </c>
      <c r="G104" s="56">
        <v>2.9024390243902438</v>
      </c>
      <c r="H104" s="57" t="s">
        <v>27</v>
      </c>
      <c r="I104" s="71" t="s">
        <v>70</v>
      </c>
    </row>
    <row r="105" spans="1:9">
      <c r="A105" s="90" t="s">
        <v>211</v>
      </c>
      <c r="B105" s="53" t="s">
        <v>21</v>
      </c>
      <c r="C105" s="53" t="s">
        <v>16</v>
      </c>
      <c r="D105" s="53" t="s">
        <v>17</v>
      </c>
      <c r="E105" s="54">
        <v>42096</v>
      </c>
      <c r="F105" s="55">
        <v>42722</v>
      </c>
      <c r="G105" s="56">
        <v>2.9024390243902438</v>
      </c>
      <c r="H105" s="57" t="s">
        <v>35</v>
      </c>
      <c r="I105" s="71" t="s">
        <v>212</v>
      </c>
    </row>
    <row r="106" spans="1:9">
      <c r="A106" s="90" t="s">
        <v>213</v>
      </c>
      <c r="B106" s="53" t="s">
        <v>21</v>
      </c>
      <c r="C106" s="67" t="s">
        <v>41</v>
      </c>
      <c r="D106" s="53" t="s">
        <v>12</v>
      </c>
      <c r="E106" s="54">
        <v>79145</v>
      </c>
      <c r="F106" s="55">
        <v>42729</v>
      </c>
      <c r="G106" s="56">
        <v>5</v>
      </c>
      <c r="H106" s="57" t="s">
        <v>18</v>
      </c>
      <c r="I106" s="71" t="s">
        <v>117</v>
      </c>
    </row>
    <row r="107" spans="1:9">
      <c r="A107" s="90" t="s">
        <v>214</v>
      </c>
      <c r="B107" s="67" t="s">
        <v>30</v>
      </c>
      <c r="C107" s="53" t="s">
        <v>12</v>
      </c>
      <c r="D107" s="53" t="s">
        <v>63</v>
      </c>
      <c r="E107" s="54">
        <v>61556</v>
      </c>
      <c r="F107" s="55">
        <v>42736</v>
      </c>
      <c r="G107" s="56">
        <v>1</v>
      </c>
      <c r="H107" s="57" t="s">
        <v>12</v>
      </c>
      <c r="I107" s="71" t="s">
        <v>209</v>
      </c>
    </row>
    <row r="108" spans="1:9">
      <c r="A108" s="90" t="s">
        <v>215</v>
      </c>
      <c r="B108" s="53" t="s">
        <v>12</v>
      </c>
      <c r="C108" s="53" t="s">
        <v>16</v>
      </c>
      <c r="D108" s="53" t="s">
        <v>46</v>
      </c>
      <c r="E108" s="54">
        <v>87963</v>
      </c>
      <c r="F108" s="55">
        <v>42743</v>
      </c>
      <c r="G108" s="56">
        <v>3</v>
      </c>
      <c r="H108" s="57" t="s">
        <v>18</v>
      </c>
      <c r="I108" s="71" t="s">
        <v>12</v>
      </c>
    </row>
    <row r="109" spans="1:9">
      <c r="A109" s="90" t="s">
        <v>216</v>
      </c>
      <c r="B109" s="53" t="s">
        <v>15</v>
      </c>
      <c r="C109" s="53" t="s">
        <v>33</v>
      </c>
      <c r="D109" s="53" t="s">
        <v>12</v>
      </c>
      <c r="E109" s="54">
        <v>48325</v>
      </c>
      <c r="F109" s="55">
        <v>42750</v>
      </c>
      <c r="G109" s="56">
        <v>2.8947368421052633</v>
      </c>
      <c r="H109" s="57" t="s">
        <v>27</v>
      </c>
      <c r="I109" s="71" t="s">
        <v>217</v>
      </c>
    </row>
    <row r="110" spans="1:9">
      <c r="A110" s="90" t="s">
        <v>218</v>
      </c>
      <c r="B110" s="53" t="s">
        <v>38</v>
      </c>
      <c r="C110" s="53" t="s">
        <v>41</v>
      </c>
      <c r="D110" s="53" t="s">
        <v>63</v>
      </c>
      <c r="E110" s="54">
        <v>86412</v>
      </c>
      <c r="F110" s="55">
        <v>42757</v>
      </c>
      <c r="G110" s="56">
        <v>2</v>
      </c>
      <c r="H110" s="57" t="s">
        <v>35</v>
      </c>
      <c r="I110" s="71" t="s">
        <v>74</v>
      </c>
    </row>
    <row r="111" spans="1:9">
      <c r="A111" s="90" t="s">
        <v>219</v>
      </c>
      <c r="B111" s="53" t="s">
        <v>38</v>
      </c>
      <c r="C111" s="53" t="s">
        <v>16</v>
      </c>
      <c r="D111" s="53" t="s">
        <v>12</v>
      </c>
      <c r="E111" s="54">
        <v>66761</v>
      </c>
      <c r="F111" s="55">
        <v>42764</v>
      </c>
      <c r="G111" s="56">
        <v>1</v>
      </c>
      <c r="H111" s="57" t="s">
        <v>12</v>
      </c>
      <c r="I111" s="71" t="s">
        <v>220</v>
      </c>
    </row>
    <row r="112" spans="1:9">
      <c r="A112" s="90" t="s">
        <v>221</v>
      </c>
      <c r="B112" s="67" t="s">
        <v>30</v>
      </c>
      <c r="C112" s="53" t="s">
        <v>12</v>
      </c>
      <c r="D112" s="53" t="s">
        <v>34</v>
      </c>
      <c r="E112" s="54">
        <v>88850</v>
      </c>
      <c r="F112" s="55">
        <v>42771</v>
      </c>
      <c r="G112" s="56">
        <v>1</v>
      </c>
      <c r="H112" s="57" t="s">
        <v>35</v>
      </c>
      <c r="I112" s="71" t="s">
        <v>222</v>
      </c>
    </row>
    <row r="113" spans="1:9">
      <c r="A113" s="90" t="s">
        <v>223</v>
      </c>
      <c r="B113" s="53" t="s">
        <v>40</v>
      </c>
      <c r="C113" s="53" t="s">
        <v>25</v>
      </c>
      <c r="D113" s="53" t="s">
        <v>34</v>
      </c>
      <c r="E113" s="54">
        <v>31293</v>
      </c>
      <c r="F113" s="55" t="s">
        <v>12</v>
      </c>
      <c r="G113" s="56">
        <v>2</v>
      </c>
      <c r="H113" s="57" t="s">
        <v>35</v>
      </c>
      <c r="I113" s="71" t="s">
        <v>224</v>
      </c>
    </row>
    <row r="114" spans="1:9">
      <c r="A114" s="90" t="s">
        <v>225</v>
      </c>
      <c r="B114" s="53" t="s">
        <v>40</v>
      </c>
      <c r="C114" s="53" t="s">
        <v>33</v>
      </c>
      <c r="D114" s="53" t="s">
        <v>26</v>
      </c>
      <c r="E114" s="54">
        <v>34306</v>
      </c>
      <c r="F114" s="55">
        <v>42785</v>
      </c>
      <c r="G114" s="56">
        <v>5</v>
      </c>
      <c r="H114" s="57" t="s">
        <v>35</v>
      </c>
      <c r="I114" s="71" t="s">
        <v>156</v>
      </c>
    </row>
    <row r="115" spans="1:9">
      <c r="A115" s="90" t="s">
        <v>226</v>
      </c>
      <c r="B115" s="53" t="s">
        <v>15</v>
      </c>
      <c r="C115" s="53" t="s">
        <v>10</v>
      </c>
      <c r="D115" s="53" t="s">
        <v>34</v>
      </c>
      <c r="E115" s="54">
        <v>78330</v>
      </c>
      <c r="F115" s="55">
        <v>42792</v>
      </c>
      <c r="G115" s="56">
        <v>3</v>
      </c>
      <c r="H115" s="57" t="s">
        <v>18</v>
      </c>
      <c r="I115" s="71" t="s">
        <v>207</v>
      </c>
    </row>
    <row r="116" spans="1:9">
      <c r="A116" s="90" t="s">
        <v>227</v>
      </c>
      <c r="B116" s="53" t="s">
        <v>21</v>
      </c>
      <c r="C116" s="53" t="s">
        <v>33</v>
      </c>
      <c r="D116" s="53" t="s">
        <v>26</v>
      </c>
      <c r="E116" s="54">
        <v>47653</v>
      </c>
      <c r="F116" s="55">
        <v>42799</v>
      </c>
      <c r="G116" s="56">
        <v>1</v>
      </c>
      <c r="H116" s="57" t="s">
        <v>27</v>
      </c>
      <c r="I116" s="71" t="s">
        <v>228</v>
      </c>
    </row>
    <row r="117" spans="1:9">
      <c r="A117" s="90" t="s">
        <v>229</v>
      </c>
      <c r="B117" s="53" t="s">
        <v>15</v>
      </c>
      <c r="C117" s="53" t="s">
        <v>41</v>
      </c>
      <c r="D117" s="53" t="s">
        <v>46</v>
      </c>
      <c r="E117" s="54">
        <v>44627</v>
      </c>
      <c r="F117" s="55">
        <v>42806</v>
      </c>
      <c r="G117" s="56">
        <v>4</v>
      </c>
      <c r="H117" s="57" t="s">
        <v>12</v>
      </c>
      <c r="I117" s="71" t="s">
        <v>148</v>
      </c>
    </row>
    <row r="118" spans="1:9">
      <c r="A118" s="90" t="s">
        <v>230</v>
      </c>
      <c r="B118" s="53" t="s">
        <v>53</v>
      </c>
      <c r="C118" s="53" t="s">
        <v>16</v>
      </c>
      <c r="D118" s="53" t="s">
        <v>17</v>
      </c>
      <c r="E118" s="54">
        <v>92343</v>
      </c>
      <c r="F118" s="55">
        <v>42813</v>
      </c>
      <c r="G118" s="56">
        <v>4</v>
      </c>
      <c r="H118" s="57" t="s">
        <v>35</v>
      </c>
      <c r="I118" s="71" t="s">
        <v>76</v>
      </c>
    </row>
    <row r="119" spans="1:9">
      <c r="A119" s="90" t="s">
        <v>231</v>
      </c>
      <c r="B119" s="53" t="s">
        <v>53</v>
      </c>
      <c r="C119" s="53" t="s">
        <v>41</v>
      </c>
      <c r="D119" s="53" t="s">
        <v>63</v>
      </c>
      <c r="E119" s="54">
        <v>38837</v>
      </c>
      <c r="F119" s="55">
        <v>42820</v>
      </c>
      <c r="G119" s="56">
        <v>5</v>
      </c>
      <c r="H119" s="57" t="s">
        <v>35</v>
      </c>
      <c r="I119" s="71" t="s">
        <v>156</v>
      </c>
    </row>
    <row r="120" spans="1:9">
      <c r="A120" s="90" t="s">
        <v>232</v>
      </c>
      <c r="B120" s="53" t="s">
        <v>53</v>
      </c>
      <c r="C120" s="67" t="s">
        <v>41</v>
      </c>
      <c r="D120" s="53" t="s">
        <v>12</v>
      </c>
      <c r="E120" s="54">
        <v>73483</v>
      </c>
      <c r="F120" s="55">
        <v>42827</v>
      </c>
      <c r="G120" s="56">
        <v>1</v>
      </c>
      <c r="H120" s="57" t="s">
        <v>12</v>
      </c>
      <c r="I120" s="71" t="s">
        <v>233</v>
      </c>
    </row>
    <row r="121" spans="1:9">
      <c r="A121" s="90" t="s">
        <v>234</v>
      </c>
      <c r="B121" s="53" t="s">
        <v>40</v>
      </c>
      <c r="C121" s="53" t="s">
        <v>25</v>
      </c>
      <c r="D121" s="53" t="s">
        <v>34</v>
      </c>
      <c r="E121" s="54">
        <v>95032</v>
      </c>
      <c r="F121" s="55">
        <v>42834</v>
      </c>
      <c r="G121" s="56">
        <v>3</v>
      </c>
      <c r="H121" s="57" t="s">
        <v>12</v>
      </c>
      <c r="I121" s="71" t="s">
        <v>235</v>
      </c>
    </row>
    <row r="122" spans="1:9">
      <c r="A122" s="90" t="s">
        <v>236</v>
      </c>
      <c r="B122" s="53" t="s">
        <v>15</v>
      </c>
      <c r="C122" s="53" t="s">
        <v>25</v>
      </c>
      <c r="D122" s="53" t="s">
        <v>63</v>
      </c>
      <c r="E122" s="54">
        <v>44358</v>
      </c>
      <c r="F122" s="55">
        <v>42841</v>
      </c>
      <c r="G122" s="56">
        <v>3</v>
      </c>
      <c r="H122" s="57" t="s">
        <v>35</v>
      </c>
      <c r="I122" s="71" t="s">
        <v>70</v>
      </c>
    </row>
    <row r="123" spans="1:9">
      <c r="A123" s="90" t="s">
        <v>237</v>
      </c>
      <c r="B123" s="53" t="s">
        <v>12</v>
      </c>
      <c r="C123" s="53" t="s">
        <v>33</v>
      </c>
      <c r="D123" s="53" t="s">
        <v>26</v>
      </c>
      <c r="E123" s="54">
        <v>63232.928571428572</v>
      </c>
      <c r="F123" s="55" t="s">
        <v>12</v>
      </c>
      <c r="G123" s="56">
        <v>5</v>
      </c>
      <c r="H123" s="57" t="s">
        <v>12</v>
      </c>
      <c r="I123" s="71" t="s">
        <v>238</v>
      </c>
    </row>
    <row r="124" spans="1:9">
      <c r="A124" s="90" t="s">
        <v>239</v>
      </c>
      <c r="B124" s="53" t="s">
        <v>40</v>
      </c>
      <c r="C124" s="53" t="s">
        <v>25</v>
      </c>
      <c r="D124" s="53" t="s">
        <v>26</v>
      </c>
      <c r="E124" s="54">
        <v>45676</v>
      </c>
      <c r="F124" s="55">
        <v>42855</v>
      </c>
      <c r="G124" s="56">
        <v>2</v>
      </c>
      <c r="H124" s="57" t="s">
        <v>12</v>
      </c>
      <c r="I124" s="71" t="s">
        <v>240</v>
      </c>
    </row>
    <row r="125" spans="1:9">
      <c r="A125" s="90" t="s">
        <v>241</v>
      </c>
      <c r="B125" s="53" t="s">
        <v>53</v>
      </c>
      <c r="C125" s="53" t="s">
        <v>25</v>
      </c>
      <c r="D125" s="53" t="s">
        <v>17</v>
      </c>
      <c r="E125" s="54">
        <v>52036</v>
      </c>
      <c r="F125" s="55">
        <v>42862</v>
      </c>
      <c r="G125" s="56">
        <v>3</v>
      </c>
      <c r="H125" s="57" t="s">
        <v>27</v>
      </c>
      <c r="I125" s="71" t="s">
        <v>242</v>
      </c>
    </row>
    <row r="126" spans="1:9">
      <c r="A126" s="90" t="s">
        <v>243</v>
      </c>
      <c r="B126" s="67" t="s">
        <v>30</v>
      </c>
      <c r="C126" s="53" t="s">
        <v>12</v>
      </c>
      <c r="D126" s="53" t="s">
        <v>17</v>
      </c>
      <c r="E126" s="54">
        <v>30357</v>
      </c>
      <c r="F126" s="55">
        <v>42869</v>
      </c>
      <c r="G126" s="56">
        <v>5</v>
      </c>
      <c r="H126" s="57" t="s">
        <v>27</v>
      </c>
      <c r="I126" s="71" t="s">
        <v>181</v>
      </c>
    </row>
    <row r="127" spans="1:9">
      <c r="A127" s="90" t="s">
        <v>244</v>
      </c>
      <c r="B127" s="53" t="s">
        <v>24</v>
      </c>
      <c r="C127" s="53" t="s">
        <v>33</v>
      </c>
      <c r="D127" s="53" t="s">
        <v>12</v>
      </c>
      <c r="E127" s="54">
        <v>60034</v>
      </c>
      <c r="F127" s="55">
        <v>42876</v>
      </c>
      <c r="G127" s="56">
        <v>1</v>
      </c>
      <c r="H127" s="57" t="s">
        <v>35</v>
      </c>
      <c r="I127" s="71" t="s">
        <v>245</v>
      </c>
    </row>
    <row r="128" spans="1:9">
      <c r="A128" s="90" t="s">
        <v>246</v>
      </c>
      <c r="B128" s="53" t="s">
        <v>24</v>
      </c>
      <c r="C128" s="53" t="s">
        <v>10</v>
      </c>
      <c r="D128" s="53" t="s">
        <v>12</v>
      </c>
      <c r="E128" s="54">
        <v>90019</v>
      </c>
      <c r="F128" s="55">
        <v>42883</v>
      </c>
      <c r="G128" s="56">
        <v>5</v>
      </c>
      <c r="H128" s="57" t="s">
        <v>12</v>
      </c>
      <c r="I128" s="71" t="s">
        <v>247</v>
      </c>
    </row>
    <row r="129" spans="1:9">
      <c r="A129" s="90" t="s">
        <v>248</v>
      </c>
      <c r="B129" s="67" t="s">
        <v>53</v>
      </c>
      <c r="C129" s="53" t="s">
        <v>12</v>
      </c>
      <c r="D129" s="53" t="s">
        <v>17</v>
      </c>
      <c r="E129" s="54">
        <v>71494</v>
      </c>
      <c r="F129" s="55">
        <v>42890</v>
      </c>
      <c r="G129" s="56">
        <v>3</v>
      </c>
      <c r="H129" s="57" t="s">
        <v>27</v>
      </c>
      <c r="I129" s="71" t="s">
        <v>249</v>
      </c>
    </row>
    <row r="130" spans="1:9">
      <c r="A130" s="90" t="s">
        <v>250</v>
      </c>
      <c r="B130" s="53" t="s">
        <v>24</v>
      </c>
      <c r="C130" s="53" t="s">
        <v>10</v>
      </c>
      <c r="D130" s="53" t="s">
        <v>26</v>
      </c>
      <c r="E130" s="54">
        <v>91953</v>
      </c>
      <c r="F130" s="55">
        <v>42897</v>
      </c>
      <c r="G130" s="56">
        <v>2</v>
      </c>
      <c r="H130" s="57" t="s">
        <v>27</v>
      </c>
      <c r="I130" s="71" t="s">
        <v>88</v>
      </c>
    </row>
    <row r="131" spans="1:9">
      <c r="A131" s="90" t="s">
        <v>251</v>
      </c>
      <c r="B131" s="53" t="s">
        <v>40</v>
      </c>
      <c r="C131" s="53" t="s">
        <v>25</v>
      </c>
      <c r="D131" s="53" t="s">
        <v>26</v>
      </c>
      <c r="E131" s="54">
        <v>30402</v>
      </c>
      <c r="F131" s="55">
        <v>42904</v>
      </c>
      <c r="G131" s="56">
        <v>1</v>
      </c>
      <c r="H131" s="57" t="s">
        <v>12</v>
      </c>
      <c r="I131" s="71" t="s">
        <v>252</v>
      </c>
    </row>
    <row r="132" spans="1:9">
      <c r="A132" s="90" t="s">
        <v>253</v>
      </c>
      <c r="B132" s="67" t="s">
        <v>53</v>
      </c>
      <c r="C132" s="53" t="s">
        <v>12</v>
      </c>
      <c r="D132" s="53" t="s">
        <v>46</v>
      </c>
      <c r="E132" s="54">
        <v>62994</v>
      </c>
      <c r="F132" s="55">
        <v>42911</v>
      </c>
      <c r="G132" s="56">
        <v>3</v>
      </c>
      <c r="H132" s="57" t="s">
        <v>12</v>
      </c>
      <c r="I132" s="71" t="s">
        <v>113</v>
      </c>
    </row>
    <row r="133" spans="1:9">
      <c r="A133" s="90" t="s">
        <v>254</v>
      </c>
      <c r="B133" s="53" t="s">
        <v>21</v>
      </c>
      <c r="C133" s="53" t="s">
        <v>25</v>
      </c>
      <c r="D133" s="53" t="s">
        <v>34</v>
      </c>
      <c r="E133" s="54">
        <v>48289</v>
      </c>
      <c r="F133" s="55" t="s">
        <v>12</v>
      </c>
      <c r="G133" s="56">
        <v>3</v>
      </c>
      <c r="H133" s="57" t="s">
        <v>27</v>
      </c>
      <c r="I133" s="71" t="s">
        <v>44</v>
      </c>
    </row>
    <row r="134" spans="1:9">
      <c r="A134" s="90" t="s">
        <v>255</v>
      </c>
      <c r="B134" s="53" t="s">
        <v>38</v>
      </c>
      <c r="C134" s="53" t="s">
        <v>41</v>
      </c>
      <c r="D134" s="53" t="s">
        <v>17</v>
      </c>
      <c r="E134" s="54">
        <v>34402</v>
      </c>
      <c r="F134" s="55">
        <v>42925</v>
      </c>
      <c r="G134" s="56">
        <v>3</v>
      </c>
      <c r="H134" s="57" t="s">
        <v>18</v>
      </c>
      <c r="I134" s="71" t="s">
        <v>107</v>
      </c>
    </row>
    <row r="135" spans="1:9">
      <c r="A135" s="90" t="s">
        <v>256</v>
      </c>
      <c r="B135" s="53" t="s">
        <v>15</v>
      </c>
      <c r="C135" s="53" t="s">
        <v>16</v>
      </c>
      <c r="D135" s="53" t="s">
        <v>26</v>
      </c>
      <c r="E135" s="54">
        <v>38678</v>
      </c>
      <c r="F135" s="55">
        <v>42932</v>
      </c>
      <c r="G135" s="56">
        <v>3</v>
      </c>
      <c r="H135" s="57" t="s">
        <v>18</v>
      </c>
      <c r="I135" s="71" t="s">
        <v>257</v>
      </c>
    </row>
    <row r="136" spans="1:9">
      <c r="A136" s="90" t="s">
        <v>258</v>
      </c>
      <c r="B136" s="53" t="s">
        <v>40</v>
      </c>
      <c r="C136" s="53" t="s">
        <v>16</v>
      </c>
      <c r="D136" s="53" t="s">
        <v>17</v>
      </c>
      <c r="E136" s="54">
        <v>45758</v>
      </c>
      <c r="F136" s="55">
        <v>42939</v>
      </c>
      <c r="G136" s="56">
        <v>3</v>
      </c>
      <c r="H136" s="57" t="s">
        <v>12</v>
      </c>
      <c r="I136" s="71" t="s">
        <v>224</v>
      </c>
    </row>
    <row r="137" spans="1:9">
      <c r="A137" s="90" t="s">
        <v>259</v>
      </c>
      <c r="B137" s="53" t="s">
        <v>15</v>
      </c>
      <c r="C137" s="53" t="s">
        <v>41</v>
      </c>
      <c r="D137" s="53" t="s">
        <v>34</v>
      </c>
      <c r="E137" s="54">
        <v>62476</v>
      </c>
      <c r="F137" s="55">
        <v>42946</v>
      </c>
      <c r="G137" s="56">
        <v>1</v>
      </c>
      <c r="H137" s="57" t="s">
        <v>18</v>
      </c>
      <c r="I137" s="71" t="s">
        <v>137</v>
      </c>
    </row>
    <row r="138" spans="1:9">
      <c r="A138" s="90" t="s">
        <v>260</v>
      </c>
      <c r="B138" s="53" t="s">
        <v>12</v>
      </c>
      <c r="C138" s="53" t="s">
        <v>33</v>
      </c>
      <c r="D138" s="53" t="s">
        <v>46</v>
      </c>
      <c r="E138" s="54">
        <v>39280</v>
      </c>
      <c r="F138" s="55">
        <v>42953</v>
      </c>
      <c r="G138" s="56">
        <v>3</v>
      </c>
      <c r="H138" s="57" t="s">
        <v>35</v>
      </c>
      <c r="I138" s="71" t="s">
        <v>98</v>
      </c>
    </row>
    <row r="139" spans="1:9">
      <c r="A139" s="90" t="s">
        <v>261</v>
      </c>
      <c r="B139" s="53" t="s">
        <v>30</v>
      </c>
      <c r="C139" s="53" t="s">
        <v>10</v>
      </c>
      <c r="D139" s="53" t="s">
        <v>34</v>
      </c>
      <c r="E139" s="54">
        <v>60335</v>
      </c>
      <c r="F139" s="55">
        <v>42960</v>
      </c>
      <c r="G139" s="56">
        <v>4</v>
      </c>
      <c r="H139" s="57" t="s">
        <v>18</v>
      </c>
      <c r="I139" s="71" t="s">
        <v>128</v>
      </c>
    </row>
    <row r="140" spans="1:9">
      <c r="A140" s="90" t="s">
        <v>262</v>
      </c>
      <c r="B140" s="53" t="s">
        <v>40</v>
      </c>
      <c r="C140" s="53" t="s">
        <v>16</v>
      </c>
      <c r="D140" s="53" t="s">
        <v>17</v>
      </c>
      <c r="E140" s="54">
        <v>84968</v>
      </c>
      <c r="F140" s="55">
        <v>42967</v>
      </c>
      <c r="G140" s="56">
        <v>3.0909090909090908</v>
      </c>
      <c r="H140" s="57" t="s">
        <v>12</v>
      </c>
      <c r="I140" s="71" t="s">
        <v>263</v>
      </c>
    </row>
    <row r="141" spans="1:9">
      <c r="A141" s="90" t="s">
        <v>264</v>
      </c>
      <c r="B141" s="53" t="s">
        <v>40</v>
      </c>
      <c r="C141" s="53" t="s">
        <v>41</v>
      </c>
      <c r="D141" s="53" t="s">
        <v>63</v>
      </c>
      <c r="E141" s="54">
        <v>84750</v>
      </c>
      <c r="F141" s="55">
        <v>42974</v>
      </c>
      <c r="G141" s="56">
        <v>4</v>
      </c>
      <c r="H141" s="57" t="s">
        <v>35</v>
      </c>
      <c r="I141" s="71" t="s">
        <v>59</v>
      </c>
    </row>
    <row r="142" spans="1:9">
      <c r="A142" s="90" t="s">
        <v>265</v>
      </c>
      <c r="B142" s="53" t="s">
        <v>53</v>
      </c>
      <c r="C142" s="53" t="s">
        <v>33</v>
      </c>
      <c r="D142" s="53" t="s">
        <v>12</v>
      </c>
      <c r="E142" s="54">
        <v>73348</v>
      </c>
      <c r="F142" s="55">
        <v>42981</v>
      </c>
      <c r="G142" s="56">
        <v>2</v>
      </c>
      <c r="H142" s="57" t="s">
        <v>12</v>
      </c>
      <c r="I142" s="71" t="s">
        <v>170</v>
      </c>
    </row>
    <row r="143" spans="1:9">
      <c r="A143" s="90" t="s">
        <v>266</v>
      </c>
      <c r="B143" s="53" t="s">
        <v>40</v>
      </c>
      <c r="C143" s="53" t="s">
        <v>25</v>
      </c>
      <c r="D143" s="53" t="s">
        <v>26</v>
      </c>
      <c r="E143" s="54">
        <v>73697</v>
      </c>
      <c r="F143" s="55">
        <v>42988</v>
      </c>
      <c r="G143" s="56">
        <v>4</v>
      </c>
      <c r="H143" s="57" t="s">
        <v>18</v>
      </c>
      <c r="I143" s="71" t="s">
        <v>12</v>
      </c>
    </row>
    <row r="144" spans="1:9">
      <c r="A144" s="90" t="s">
        <v>267</v>
      </c>
      <c r="B144" s="53" t="s">
        <v>30</v>
      </c>
      <c r="C144" s="53" t="s">
        <v>41</v>
      </c>
      <c r="D144" s="53" t="s">
        <v>26</v>
      </c>
      <c r="E144" s="54">
        <v>66882</v>
      </c>
      <c r="F144" s="55">
        <v>42995</v>
      </c>
      <c r="G144" s="56">
        <v>5</v>
      </c>
      <c r="H144" s="57" t="s">
        <v>18</v>
      </c>
      <c r="I144" s="71" t="s">
        <v>84</v>
      </c>
    </row>
    <row r="145" spans="1:9">
      <c r="A145" s="90" t="s">
        <v>268</v>
      </c>
      <c r="B145" s="53" t="s">
        <v>21</v>
      </c>
      <c r="C145" s="67" t="s">
        <v>41</v>
      </c>
      <c r="D145" s="53" t="s">
        <v>12</v>
      </c>
      <c r="E145" s="54">
        <v>86775</v>
      </c>
      <c r="F145" s="55">
        <v>43002</v>
      </c>
      <c r="G145" s="56">
        <v>3</v>
      </c>
      <c r="H145" s="57" t="s">
        <v>18</v>
      </c>
      <c r="I145" s="71" t="s">
        <v>94</v>
      </c>
    </row>
    <row r="146" spans="1:9">
      <c r="A146" s="90" t="s">
        <v>269</v>
      </c>
      <c r="B146" s="53" t="s">
        <v>40</v>
      </c>
      <c r="C146" s="53" t="s">
        <v>25</v>
      </c>
      <c r="D146" s="53" t="s">
        <v>46</v>
      </c>
      <c r="E146" s="54">
        <v>91620</v>
      </c>
      <c r="F146" s="55">
        <v>43009</v>
      </c>
      <c r="G146" s="56">
        <v>2.6666666666666665</v>
      </c>
      <c r="H146" s="57" t="s">
        <v>12</v>
      </c>
      <c r="I146" s="71" t="s">
        <v>270</v>
      </c>
    </row>
    <row r="147" spans="1:9">
      <c r="A147" s="90" t="s">
        <v>271</v>
      </c>
      <c r="B147" s="67" t="s">
        <v>15</v>
      </c>
      <c r="C147" s="53" t="s">
        <v>12</v>
      </c>
      <c r="D147" s="53" t="s">
        <v>12</v>
      </c>
      <c r="E147" s="54">
        <v>94148</v>
      </c>
      <c r="F147" s="55">
        <v>43016</v>
      </c>
      <c r="G147" s="56">
        <v>2</v>
      </c>
      <c r="H147" s="57" t="s">
        <v>12</v>
      </c>
      <c r="I147" s="71" t="s">
        <v>272</v>
      </c>
    </row>
    <row r="148" spans="1:9">
      <c r="A148" s="90" t="s">
        <v>273</v>
      </c>
      <c r="B148" s="53" t="s">
        <v>38</v>
      </c>
      <c r="C148" s="53" t="s">
        <v>25</v>
      </c>
      <c r="D148" s="53" t="s">
        <v>63</v>
      </c>
      <c r="E148" s="54">
        <v>35627</v>
      </c>
      <c r="F148" s="55">
        <v>43023</v>
      </c>
      <c r="G148" s="56">
        <v>5</v>
      </c>
      <c r="H148" s="57" t="s">
        <v>35</v>
      </c>
      <c r="I148" s="71" t="s">
        <v>257</v>
      </c>
    </row>
    <row r="149" spans="1:9">
      <c r="A149" s="90" t="s">
        <v>274</v>
      </c>
      <c r="B149" s="53" t="s">
        <v>24</v>
      </c>
      <c r="C149" s="53" t="s">
        <v>41</v>
      </c>
      <c r="D149" s="53" t="s">
        <v>26</v>
      </c>
      <c r="E149" s="54">
        <v>57141</v>
      </c>
      <c r="F149" s="55">
        <v>43030</v>
      </c>
      <c r="G149" s="56">
        <v>2</v>
      </c>
      <c r="H149" s="57" t="s">
        <v>12</v>
      </c>
      <c r="I149" s="71" t="s">
        <v>263</v>
      </c>
    </row>
    <row r="150" spans="1:9">
      <c r="A150" s="90" t="s">
        <v>275</v>
      </c>
      <c r="B150" s="53" t="s">
        <v>53</v>
      </c>
      <c r="C150" s="53" t="s">
        <v>25</v>
      </c>
      <c r="D150" s="53" t="s">
        <v>63</v>
      </c>
      <c r="E150" s="54">
        <v>65270</v>
      </c>
      <c r="F150" s="55">
        <v>43037</v>
      </c>
      <c r="G150" s="56">
        <v>1</v>
      </c>
      <c r="H150" s="57" t="s">
        <v>12</v>
      </c>
      <c r="I150" s="71" t="s">
        <v>276</v>
      </c>
    </row>
    <row r="151" spans="1:9">
      <c r="A151" s="90" t="s">
        <v>277</v>
      </c>
      <c r="B151" s="67" t="s">
        <v>53</v>
      </c>
      <c r="C151" s="53" t="s">
        <v>12</v>
      </c>
      <c r="D151" s="53" t="s">
        <v>46</v>
      </c>
      <c r="E151" s="54">
        <v>67335</v>
      </c>
      <c r="F151" s="55">
        <v>43044</v>
      </c>
      <c r="G151" s="56">
        <v>1</v>
      </c>
      <c r="H151" s="57" t="s">
        <v>18</v>
      </c>
      <c r="I151" s="71" t="s">
        <v>143</v>
      </c>
    </row>
    <row r="152" spans="1:9">
      <c r="A152" s="91" t="s">
        <v>278</v>
      </c>
      <c r="B152" s="92" t="s">
        <v>38</v>
      </c>
      <c r="C152" s="92" t="s">
        <v>41</v>
      </c>
      <c r="D152" s="92" t="s">
        <v>34</v>
      </c>
      <c r="E152" s="93">
        <v>98475</v>
      </c>
      <c r="F152" s="94">
        <v>43051</v>
      </c>
      <c r="G152" s="95">
        <v>5</v>
      </c>
      <c r="H152" s="96" t="s">
        <v>18</v>
      </c>
      <c r="I152" s="97" t="s">
        <v>279</v>
      </c>
    </row>
  </sheetData>
  <mergeCells count="1">
    <mergeCell ref="A1:R1"/>
  </mergeCells>
  <pageMargins left="0.7" right="0.7" top="0.75" bottom="0.75" header="0.3" footer="0.3"/>
  <tableParts count="2">
    <tablePart r:id="rId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2122C-C643-4E31-ACB4-0AF99186F1A9}">
  <dimension ref="A1:K152"/>
  <sheetViews>
    <sheetView workbookViewId="0">
      <selection activeCell="H17" sqref="H17"/>
    </sheetView>
  </sheetViews>
  <sheetFormatPr defaultRowHeight="14.4"/>
  <cols>
    <col min="1" max="1" width="13.5546875" bestFit="1" customWidth="1"/>
    <col min="2" max="2" width="11" bestFit="1" customWidth="1"/>
    <col min="3" max="3" width="13.21875" bestFit="1" customWidth="1"/>
    <col min="4" max="4" width="9.6640625" bestFit="1" customWidth="1"/>
    <col min="5" max="5" width="12" bestFit="1" customWidth="1"/>
    <col min="6" max="6" width="15" style="51" bestFit="1" customWidth="1"/>
    <col min="7" max="7" width="15.21875" style="51" customWidth="1"/>
    <col min="8" max="8" width="11.6640625" customWidth="1"/>
    <col min="9" max="9" width="25.88671875" customWidth="1"/>
    <col min="11" max="11" width="51.77734375" customWidth="1"/>
  </cols>
  <sheetData>
    <row r="1" spans="1:11" ht="21">
      <c r="A1" s="191" t="s">
        <v>334</v>
      </c>
      <c r="B1" s="191"/>
      <c r="C1" s="191"/>
      <c r="D1" s="191"/>
      <c r="E1" s="191"/>
      <c r="F1" s="191"/>
      <c r="G1" s="191"/>
      <c r="H1" s="191"/>
      <c r="I1" s="191"/>
    </row>
    <row r="2" spans="1:11">
      <c r="A2" t="s">
        <v>0</v>
      </c>
      <c r="B2" t="s">
        <v>1</v>
      </c>
      <c r="C2" t="s">
        <v>2</v>
      </c>
      <c r="D2" t="s">
        <v>3</v>
      </c>
      <c r="E2" t="s">
        <v>4</v>
      </c>
      <c r="F2" s="51" t="s">
        <v>5</v>
      </c>
      <c r="G2" s="51" t="s">
        <v>6</v>
      </c>
      <c r="H2" t="s">
        <v>7</v>
      </c>
      <c r="I2" t="s">
        <v>8</v>
      </c>
    </row>
    <row r="3" spans="1:11" ht="15.6">
      <c r="A3" t="s">
        <v>9</v>
      </c>
      <c r="B3" t="s">
        <v>12</v>
      </c>
      <c r="C3" t="s">
        <v>10</v>
      </c>
      <c r="D3" t="s">
        <v>12</v>
      </c>
      <c r="E3" s="105">
        <v>62745.946666666663</v>
      </c>
      <c r="F3" s="106" t="s">
        <v>12</v>
      </c>
      <c r="G3" s="25">
        <v>2</v>
      </c>
      <c r="H3" t="s">
        <v>12</v>
      </c>
      <c r="I3" t="s">
        <v>12</v>
      </c>
      <c r="K3" s="108" t="s">
        <v>335</v>
      </c>
    </row>
    <row r="4" spans="1:11">
      <c r="A4" t="s">
        <v>14</v>
      </c>
      <c r="B4" t="s">
        <v>15</v>
      </c>
      <c r="C4" t="s">
        <v>16</v>
      </c>
      <c r="D4" t="s">
        <v>17</v>
      </c>
      <c r="E4" s="105">
        <v>54255</v>
      </c>
      <c r="F4" s="106">
        <v>42015</v>
      </c>
      <c r="G4" s="25">
        <v>1</v>
      </c>
      <c r="H4" t="s">
        <v>18</v>
      </c>
      <c r="I4" t="s">
        <v>19</v>
      </c>
      <c r="K4" s="107" t="s">
        <v>340</v>
      </c>
    </row>
    <row r="5" spans="1:11">
      <c r="A5" t="s">
        <v>20</v>
      </c>
      <c r="B5" t="s">
        <v>21</v>
      </c>
      <c r="C5" t="s">
        <v>10</v>
      </c>
      <c r="D5" t="s">
        <v>17</v>
      </c>
      <c r="E5" s="105">
        <v>63184</v>
      </c>
      <c r="F5" s="106">
        <v>42022</v>
      </c>
      <c r="G5" s="25">
        <v>2</v>
      </c>
      <c r="H5" t="s">
        <v>12</v>
      </c>
      <c r="I5" t="s">
        <v>22</v>
      </c>
      <c r="K5" s="107" t="s">
        <v>336</v>
      </c>
    </row>
    <row r="6" spans="1:11">
      <c r="A6" t="s">
        <v>23</v>
      </c>
      <c r="B6" t="s">
        <v>24</v>
      </c>
      <c r="C6" t="s">
        <v>25</v>
      </c>
      <c r="D6" t="s">
        <v>26</v>
      </c>
      <c r="E6" s="105">
        <v>94406</v>
      </c>
      <c r="F6" s="106">
        <v>42029</v>
      </c>
      <c r="G6" s="25">
        <v>1</v>
      </c>
      <c r="H6" t="s">
        <v>27</v>
      </c>
      <c r="I6" t="s">
        <v>28</v>
      </c>
      <c r="K6" s="107" t="s">
        <v>337</v>
      </c>
    </row>
    <row r="7" spans="1:11">
      <c r="A7" t="s">
        <v>29</v>
      </c>
      <c r="B7" t="s">
        <v>30</v>
      </c>
      <c r="C7" t="s">
        <v>25</v>
      </c>
      <c r="D7" t="s">
        <v>17</v>
      </c>
      <c r="E7" s="105">
        <v>64120</v>
      </c>
      <c r="F7" s="106">
        <v>42036</v>
      </c>
      <c r="G7" s="25">
        <v>1</v>
      </c>
      <c r="H7" t="s">
        <v>27</v>
      </c>
      <c r="I7" t="s">
        <v>31</v>
      </c>
      <c r="K7" s="107" t="s">
        <v>338</v>
      </c>
    </row>
    <row r="8" spans="1:11">
      <c r="A8" t="s">
        <v>32</v>
      </c>
      <c r="B8" t="s">
        <v>21</v>
      </c>
      <c r="C8" t="s">
        <v>33</v>
      </c>
      <c r="D8" t="s">
        <v>34</v>
      </c>
      <c r="E8" s="105">
        <v>78421</v>
      </c>
      <c r="F8" s="106">
        <v>42043</v>
      </c>
      <c r="G8" s="25">
        <v>2</v>
      </c>
      <c r="H8" t="s">
        <v>35</v>
      </c>
      <c r="I8" t="s">
        <v>36</v>
      </c>
      <c r="K8" s="107" t="s">
        <v>339</v>
      </c>
    </row>
    <row r="9" spans="1:11">
      <c r="A9" t="s">
        <v>37</v>
      </c>
      <c r="B9" t="s">
        <v>38</v>
      </c>
      <c r="C9" t="s">
        <v>25</v>
      </c>
      <c r="D9" t="s">
        <v>12</v>
      </c>
      <c r="E9" s="105">
        <v>67721</v>
      </c>
      <c r="F9" s="106">
        <v>42050</v>
      </c>
      <c r="G9" s="25">
        <v>2.8719999999999999</v>
      </c>
      <c r="H9" t="s">
        <v>27</v>
      </c>
      <c r="I9" t="s">
        <v>28</v>
      </c>
      <c r="K9" s="107"/>
    </row>
    <row r="10" spans="1:11">
      <c r="A10" t="s">
        <v>39</v>
      </c>
      <c r="B10" t="s">
        <v>40</v>
      </c>
      <c r="C10" t="s">
        <v>41</v>
      </c>
      <c r="D10" t="s">
        <v>12</v>
      </c>
      <c r="E10" s="105">
        <v>35364</v>
      </c>
      <c r="F10" s="106">
        <v>42057</v>
      </c>
      <c r="G10" s="25">
        <v>2</v>
      </c>
      <c r="H10" t="s">
        <v>18</v>
      </c>
      <c r="I10" t="s">
        <v>42</v>
      </c>
    </row>
    <row r="11" spans="1:11">
      <c r="A11" t="s">
        <v>43</v>
      </c>
      <c r="B11" t="s">
        <v>21</v>
      </c>
      <c r="C11" t="s">
        <v>33</v>
      </c>
      <c r="D11" t="s">
        <v>17</v>
      </c>
      <c r="E11" s="105">
        <v>97881</v>
      </c>
      <c r="F11" s="106">
        <v>42064</v>
      </c>
      <c r="G11" s="25">
        <v>2.8719999999999999</v>
      </c>
      <c r="H11" t="s">
        <v>35</v>
      </c>
      <c r="I11" t="s">
        <v>44</v>
      </c>
    </row>
    <row r="12" spans="1:11">
      <c r="A12" t="s">
        <v>45</v>
      </c>
      <c r="B12" t="s">
        <v>40</v>
      </c>
      <c r="C12" t="s">
        <v>16</v>
      </c>
      <c r="D12" t="s">
        <v>46</v>
      </c>
      <c r="E12" s="105">
        <v>91846</v>
      </c>
      <c r="F12" s="106">
        <v>42071</v>
      </c>
      <c r="G12" s="25">
        <v>2.8719999999999999</v>
      </c>
      <c r="H12" t="s">
        <v>27</v>
      </c>
      <c r="I12" t="s">
        <v>47</v>
      </c>
    </row>
    <row r="13" spans="1:11">
      <c r="A13" t="s">
        <v>48</v>
      </c>
      <c r="B13" t="s">
        <v>38</v>
      </c>
      <c r="C13" t="s">
        <v>10</v>
      </c>
      <c r="D13" t="s">
        <v>46</v>
      </c>
      <c r="E13" s="105">
        <v>64247</v>
      </c>
      <c r="F13" s="106">
        <v>42078</v>
      </c>
      <c r="G13" s="25">
        <v>1</v>
      </c>
      <c r="H13" t="s">
        <v>35</v>
      </c>
      <c r="I13" t="s">
        <v>49</v>
      </c>
    </row>
    <row r="14" spans="1:11">
      <c r="A14" t="s">
        <v>50</v>
      </c>
      <c r="B14" t="s">
        <v>38</v>
      </c>
      <c r="C14" t="s">
        <v>33</v>
      </c>
      <c r="D14" t="s">
        <v>26</v>
      </c>
      <c r="E14" s="105">
        <v>91180</v>
      </c>
      <c r="F14" s="106">
        <v>42085</v>
      </c>
      <c r="G14" s="25">
        <v>5</v>
      </c>
      <c r="H14" t="s">
        <v>27</v>
      </c>
      <c r="I14" t="s">
        <v>51</v>
      </c>
    </row>
    <row r="15" spans="1:11">
      <c r="A15" t="s">
        <v>52</v>
      </c>
      <c r="B15" t="s">
        <v>53</v>
      </c>
      <c r="C15" t="s">
        <v>25</v>
      </c>
      <c r="D15" t="s">
        <v>12</v>
      </c>
      <c r="E15" s="105">
        <v>96418</v>
      </c>
      <c r="F15" s="106">
        <v>42092</v>
      </c>
      <c r="G15" s="25">
        <v>5</v>
      </c>
      <c r="H15" t="s">
        <v>27</v>
      </c>
      <c r="I15" t="s">
        <v>19</v>
      </c>
    </row>
    <row r="16" spans="1:11">
      <c r="A16" t="s">
        <v>54</v>
      </c>
      <c r="B16" t="s">
        <v>38</v>
      </c>
      <c r="C16" t="s">
        <v>12</v>
      </c>
      <c r="D16" t="s">
        <v>34</v>
      </c>
      <c r="E16" s="105">
        <v>62158</v>
      </c>
      <c r="F16" s="106">
        <v>42099</v>
      </c>
      <c r="G16" s="25">
        <v>4</v>
      </c>
      <c r="H16" t="s">
        <v>12</v>
      </c>
      <c r="I16" t="s">
        <v>55</v>
      </c>
    </row>
    <row r="17" spans="1:9">
      <c r="A17" t="s">
        <v>56</v>
      </c>
      <c r="B17" t="s">
        <v>30</v>
      </c>
      <c r="C17" t="s">
        <v>16</v>
      </c>
      <c r="D17" t="s">
        <v>12</v>
      </c>
      <c r="E17" s="105">
        <v>59894</v>
      </c>
      <c r="F17" s="106">
        <v>42106</v>
      </c>
      <c r="G17" s="25">
        <v>2</v>
      </c>
      <c r="H17" t="s">
        <v>27</v>
      </c>
      <c r="I17" t="s">
        <v>57</v>
      </c>
    </row>
    <row r="18" spans="1:9">
      <c r="A18" t="s">
        <v>58</v>
      </c>
      <c r="B18" t="s">
        <v>12</v>
      </c>
      <c r="C18" t="s">
        <v>33</v>
      </c>
      <c r="D18" t="s">
        <v>34</v>
      </c>
      <c r="E18" s="105">
        <v>92443</v>
      </c>
      <c r="F18" s="106">
        <v>42113</v>
      </c>
      <c r="G18" s="25">
        <v>3</v>
      </c>
      <c r="H18" t="s">
        <v>18</v>
      </c>
      <c r="I18" t="s">
        <v>59</v>
      </c>
    </row>
    <row r="19" spans="1:9">
      <c r="A19" t="s">
        <v>60</v>
      </c>
      <c r="B19" t="s">
        <v>53</v>
      </c>
      <c r="C19" t="s">
        <v>12</v>
      </c>
      <c r="D19" t="s">
        <v>17</v>
      </c>
      <c r="E19" s="105">
        <v>90271</v>
      </c>
      <c r="F19" s="106">
        <v>42120</v>
      </c>
      <c r="G19" s="25">
        <v>2.8719999999999999</v>
      </c>
      <c r="H19" t="s">
        <v>12</v>
      </c>
      <c r="I19" t="s">
        <v>61</v>
      </c>
    </row>
    <row r="20" spans="1:9">
      <c r="A20" t="s">
        <v>62</v>
      </c>
      <c r="B20" t="s">
        <v>30</v>
      </c>
      <c r="C20" t="s">
        <v>10</v>
      </c>
      <c r="D20" t="s">
        <v>63</v>
      </c>
      <c r="E20" s="105">
        <v>41341</v>
      </c>
      <c r="F20" s="106">
        <v>42127</v>
      </c>
      <c r="G20" s="25">
        <v>1</v>
      </c>
      <c r="H20" t="s">
        <v>18</v>
      </c>
      <c r="I20" t="s">
        <v>64</v>
      </c>
    </row>
    <row r="21" spans="1:9">
      <c r="A21" t="s">
        <v>65</v>
      </c>
      <c r="B21" t="s">
        <v>21</v>
      </c>
      <c r="C21" t="s">
        <v>10</v>
      </c>
      <c r="D21" t="s">
        <v>46</v>
      </c>
      <c r="E21" s="105">
        <v>73602</v>
      </c>
      <c r="F21" s="106">
        <v>42134</v>
      </c>
      <c r="G21" s="25">
        <v>2.8719999999999999</v>
      </c>
      <c r="H21" t="s">
        <v>12</v>
      </c>
      <c r="I21" t="s">
        <v>66</v>
      </c>
    </row>
    <row r="22" spans="1:9">
      <c r="A22" t="s">
        <v>67</v>
      </c>
      <c r="B22" t="s">
        <v>15</v>
      </c>
      <c r="C22" t="s">
        <v>12</v>
      </c>
      <c r="D22" t="s">
        <v>34</v>
      </c>
      <c r="E22" s="105">
        <v>67531</v>
      </c>
      <c r="F22" s="106">
        <v>42141</v>
      </c>
      <c r="G22" s="25">
        <v>5</v>
      </c>
      <c r="H22" t="s">
        <v>35</v>
      </c>
      <c r="I22" t="s">
        <v>68</v>
      </c>
    </row>
    <row r="23" spans="1:9">
      <c r="A23" t="s">
        <v>69</v>
      </c>
      <c r="B23" t="s">
        <v>30</v>
      </c>
      <c r="C23" t="s">
        <v>16</v>
      </c>
      <c r="D23" t="s">
        <v>26</v>
      </c>
      <c r="E23" s="105">
        <v>62745.946666666663</v>
      </c>
      <c r="F23" s="106">
        <v>42148</v>
      </c>
      <c r="G23" s="25">
        <v>2</v>
      </c>
      <c r="H23" t="s">
        <v>18</v>
      </c>
      <c r="I23" t="s">
        <v>70</v>
      </c>
    </row>
    <row r="24" spans="1:9">
      <c r="A24" t="s">
        <v>71</v>
      </c>
      <c r="B24" t="s">
        <v>30</v>
      </c>
      <c r="C24" t="s">
        <v>16</v>
      </c>
      <c r="D24" t="s">
        <v>12</v>
      </c>
      <c r="E24" s="105">
        <v>98922</v>
      </c>
      <c r="F24" s="106">
        <v>42155</v>
      </c>
      <c r="G24" s="25">
        <v>4</v>
      </c>
      <c r="H24" t="s">
        <v>12</v>
      </c>
      <c r="I24" t="s">
        <v>72</v>
      </c>
    </row>
    <row r="25" spans="1:9">
      <c r="A25" t="s">
        <v>73</v>
      </c>
      <c r="B25" t="s">
        <v>15</v>
      </c>
      <c r="C25" t="s">
        <v>10</v>
      </c>
      <c r="D25" t="s">
        <v>34</v>
      </c>
      <c r="E25" s="105">
        <v>38333</v>
      </c>
      <c r="F25" s="106">
        <v>42162</v>
      </c>
      <c r="G25" s="25">
        <v>5</v>
      </c>
      <c r="H25" t="s">
        <v>12</v>
      </c>
      <c r="I25" t="s">
        <v>74</v>
      </c>
    </row>
    <row r="26" spans="1:9">
      <c r="A26" t="s">
        <v>75</v>
      </c>
      <c r="B26" t="s">
        <v>21</v>
      </c>
      <c r="C26" t="s">
        <v>41</v>
      </c>
      <c r="D26" t="s">
        <v>46</v>
      </c>
      <c r="E26" s="105">
        <v>36515</v>
      </c>
      <c r="F26" s="106">
        <v>42169</v>
      </c>
      <c r="G26" s="25">
        <v>3</v>
      </c>
      <c r="H26" t="s">
        <v>27</v>
      </c>
      <c r="I26" t="s">
        <v>76</v>
      </c>
    </row>
    <row r="27" spans="1:9">
      <c r="A27" t="s">
        <v>77</v>
      </c>
      <c r="B27" t="s">
        <v>38</v>
      </c>
      <c r="C27" t="s">
        <v>10</v>
      </c>
      <c r="D27" t="s">
        <v>12</v>
      </c>
      <c r="E27" s="105">
        <v>91005</v>
      </c>
      <c r="F27" s="106">
        <v>42176</v>
      </c>
      <c r="G27" s="25">
        <v>1</v>
      </c>
      <c r="H27" t="s">
        <v>18</v>
      </c>
      <c r="I27" t="s">
        <v>78</v>
      </c>
    </row>
    <row r="28" spans="1:9">
      <c r="A28" t="s">
        <v>79</v>
      </c>
      <c r="B28" t="s">
        <v>40</v>
      </c>
      <c r="C28" t="s">
        <v>12</v>
      </c>
      <c r="D28" t="s">
        <v>12</v>
      </c>
      <c r="E28" s="105">
        <v>52272</v>
      </c>
      <c r="F28" s="106">
        <v>42183</v>
      </c>
      <c r="G28" s="25">
        <v>3</v>
      </c>
      <c r="H28" t="s">
        <v>12</v>
      </c>
      <c r="I28" t="s">
        <v>80</v>
      </c>
    </row>
    <row r="29" spans="1:9">
      <c r="A29" t="s">
        <v>81</v>
      </c>
      <c r="B29" t="s">
        <v>15</v>
      </c>
      <c r="C29" t="s">
        <v>25</v>
      </c>
      <c r="D29" t="s">
        <v>17</v>
      </c>
      <c r="E29" s="105">
        <v>76518</v>
      </c>
      <c r="F29" s="106">
        <v>42190</v>
      </c>
      <c r="G29" s="25">
        <v>2</v>
      </c>
      <c r="H29" t="s">
        <v>35</v>
      </c>
      <c r="I29" t="s">
        <v>82</v>
      </c>
    </row>
    <row r="30" spans="1:9">
      <c r="A30" t="s">
        <v>83</v>
      </c>
      <c r="B30" t="s">
        <v>21</v>
      </c>
      <c r="C30" t="s">
        <v>33</v>
      </c>
      <c r="D30" t="s">
        <v>46</v>
      </c>
      <c r="E30" s="105">
        <v>41448</v>
      </c>
      <c r="F30" s="106">
        <v>42197</v>
      </c>
      <c r="G30" s="25">
        <v>3</v>
      </c>
      <c r="H30" t="s">
        <v>18</v>
      </c>
      <c r="I30" t="s">
        <v>84</v>
      </c>
    </row>
    <row r="31" spans="1:9">
      <c r="A31" t="s">
        <v>85</v>
      </c>
      <c r="B31" t="s">
        <v>24</v>
      </c>
      <c r="C31" t="s">
        <v>16</v>
      </c>
      <c r="D31" t="s">
        <v>46</v>
      </c>
      <c r="E31" s="105">
        <v>49282</v>
      </c>
      <c r="F31" s="106">
        <v>42204</v>
      </c>
      <c r="G31" s="25">
        <v>2</v>
      </c>
      <c r="H31" t="s">
        <v>35</v>
      </c>
      <c r="I31" t="s">
        <v>86</v>
      </c>
    </row>
    <row r="32" spans="1:9">
      <c r="A32" t="s">
        <v>87</v>
      </c>
      <c r="B32" t="s">
        <v>53</v>
      </c>
      <c r="C32" t="s">
        <v>41</v>
      </c>
      <c r="D32" t="s">
        <v>46</v>
      </c>
      <c r="E32" s="105">
        <v>92959</v>
      </c>
      <c r="F32" s="106">
        <v>42211</v>
      </c>
      <c r="G32" s="25">
        <v>5</v>
      </c>
      <c r="H32" t="s">
        <v>12</v>
      </c>
      <c r="I32" t="s">
        <v>88</v>
      </c>
    </row>
    <row r="33" spans="1:9">
      <c r="A33" t="s">
        <v>89</v>
      </c>
      <c r="B33" t="s">
        <v>12</v>
      </c>
      <c r="C33" t="s">
        <v>41</v>
      </c>
      <c r="D33" t="s">
        <v>12</v>
      </c>
      <c r="E33" s="105">
        <v>92259</v>
      </c>
      <c r="F33" s="106" t="s">
        <v>12</v>
      </c>
      <c r="G33" s="25">
        <v>1</v>
      </c>
      <c r="H33" t="s">
        <v>12</v>
      </c>
      <c r="I33" t="s">
        <v>90</v>
      </c>
    </row>
    <row r="34" spans="1:9">
      <c r="A34" t="s">
        <v>91</v>
      </c>
      <c r="B34" t="s">
        <v>15</v>
      </c>
      <c r="C34" t="s">
        <v>16</v>
      </c>
      <c r="D34" t="s">
        <v>17</v>
      </c>
      <c r="E34" s="105">
        <v>92299</v>
      </c>
      <c r="F34" s="106">
        <v>42225</v>
      </c>
      <c r="G34" s="25">
        <v>3</v>
      </c>
      <c r="H34" t="s">
        <v>27</v>
      </c>
      <c r="I34" t="s">
        <v>92</v>
      </c>
    </row>
    <row r="35" spans="1:9">
      <c r="A35" t="s">
        <v>93</v>
      </c>
      <c r="B35" t="s">
        <v>38</v>
      </c>
      <c r="C35" t="s">
        <v>16</v>
      </c>
      <c r="D35" t="s">
        <v>12</v>
      </c>
      <c r="E35" s="105">
        <v>95586</v>
      </c>
      <c r="F35" s="106">
        <v>42232</v>
      </c>
      <c r="G35" s="25">
        <v>3</v>
      </c>
      <c r="H35" t="s">
        <v>18</v>
      </c>
      <c r="I35" t="s">
        <v>94</v>
      </c>
    </row>
    <row r="36" spans="1:9">
      <c r="A36" t="s">
        <v>95</v>
      </c>
      <c r="B36" t="s">
        <v>40</v>
      </c>
      <c r="C36" t="s">
        <v>12</v>
      </c>
      <c r="D36" t="s">
        <v>26</v>
      </c>
      <c r="E36" s="105">
        <v>95367</v>
      </c>
      <c r="F36" s="106">
        <v>42239</v>
      </c>
      <c r="G36" s="25">
        <v>2.8719999999999999</v>
      </c>
      <c r="H36" t="s">
        <v>27</v>
      </c>
      <c r="I36" t="s">
        <v>96</v>
      </c>
    </row>
    <row r="37" spans="1:9">
      <c r="A37" t="s">
        <v>97</v>
      </c>
      <c r="B37" t="s">
        <v>24</v>
      </c>
      <c r="C37" t="s">
        <v>25</v>
      </c>
      <c r="D37" t="s">
        <v>63</v>
      </c>
      <c r="E37" s="105">
        <v>79549</v>
      </c>
      <c r="F37" s="106">
        <v>42246</v>
      </c>
      <c r="G37" s="25">
        <v>3</v>
      </c>
      <c r="H37" t="s">
        <v>12</v>
      </c>
      <c r="I37" t="s">
        <v>98</v>
      </c>
    </row>
    <row r="38" spans="1:9">
      <c r="A38" t="s">
        <v>99</v>
      </c>
      <c r="B38" t="s">
        <v>21</v>
      </c>
      <c r="C38" t="s">
        <v>12</v>
      </c>
      <c r="D38" t="s">
        <v>46</v>
      </c>
      <c r="E38" s="105">
        <v>54463</v>
      </c>
      <c r="F38" s="106">
        <v>42253</v>
      </c>
      <c r="G38" s="25">
        <v>4</v>
      </c>
      <c r="H38" t="s">
        <v>27</v>
      </c>
      <c r="I38" t="s">
        <v>12</v>
      </c>
    </row>
    <row r="39" spans="1:9">
      <c r="A39" t="s">
        <v>100</v>
      </c>
      <c r="B39" t="s">
        <v>21</v>
      </c>
      <c r="C39" t="s">
        <v>33</v>
      </c>
      <c r="D39" t="s">
        <v>26</v>
      </c>
      <c r="E39" s="105">
        <v>89781</v>
      </c>
      <c r="F39" s="106">
        <v>42260</v>
      </c>
      <c r="G39" s="25">
        <v>2.8719999999999999</v>
      </c>
      <c r="H39" t="s">
        <v>35</v>
      </c>
      <c r="I39" t="s">
        <v>101</v>
      </c>
    </row>
    <row r="40" spans="1:9">
      <c r="A40" t="s">
        <v>102</v>
      </c>
      <c r="B40" t="s">
        <v>21</v>
      </c>
      <c r="C40" t="s">
        <v>16</v>
      </c>
      <c r="D40" t="s">
        <v>12</v>
      </c>
      <c r="E40" s="105">
        <v>64796</v>
      </c>
      <c r="F40" s="106">
        <v>42267</v>
      </c>
      <c r="G40" s="25">
        <v>2.8719999999999999</v>
      </c>
      <c r="H40" t="s">
        <v>18</v>
      </c>
      <c r="I40" t="s">
        <v>103</v>
      </c>
    </row>
    <row r="41" spans="1:9">
      <c r="A41" t="s">
        <v>104</v>
      </c>
      <c r="B41" t="s">
        <v>24</v>
      </c>
      <c r="C41" t="s">
        <v>41</v>
      </c>
      <c r="D41" t="s">
        <v>46</v>
      </c>
      <c r="E41" s="105">
        <v>52093</v>
      </c>
      <c r="F41" s="106">
        <v>42274</v>
      </c>
      <c r="G41" s="25">
        <v>5</v>
      </c>
      <c r="H41" t="s">
        <v>12</v>
      </c>
      <c r="I41" t="s">
        <v>105</v>
      </c>
    </row>
    <row r="42" spans="1:9">
      <c r="A42" t="s">
        <v>106</v>
      </c>
      <c r="B42" t="s">
        <v>40</v>
      </c>
      <c r="C42" t="s">
        <v>16</v>
      </c>
      <c r="D42" t="s">
        <v>46</v>
      </c>
      <c r="E42" s="105">
        <v>48224</v>
      </c>
      <c r="F42" s="106">
        <v>42281</v>
      </c>
      <c r="G42" s="25">
        <v>3</v>
      </c>
      <c r="H42" t="s">
        <v>12</v>
      </c>
      <c r="I42" t="s">
        <v>107</v>
      </c>
    </row>
    <row r="43" spans="1:9">
      <c r="A43" t="s">
        <v>108</v>
      </c>
      <c r="B43" t="s">
        <v>53</v>
      </c>
      <c r="C43" t="s">
        <v>10</v>
      </c>
      <c r="D43" t="s">
        <v>46</v>
      </c>
      <c r="E43" s="105">
        <v>62745.946666666663</v>
      </c>
      <c r="F43" s="106" t="s">
        <v>12</v>
      </c>
      <c r="G43" s="25">
        <v>4</v>
      </c>
      <c r="H43" t="s">
        <v>35</v>
      </c>
      <c r="I43" t="s">
        <v>109</v>
      </c>
    </row>
    <row r="44" spans="1:9">
      <c r="A44" t="s">
        <v>110</v>
      </c>
      <c r="B44" t="s">
        <v>21</v>
      </c>
      <c r="C44" t="s">
        <v>33</v>
      </c>
      <c r="D44" t="s">
        <v>17</v>
      </c>
      <c r="E44" s="105">
        <v>33956</v>
      </c>
      <c r="F44" s="106">
        <v>42295</v>
      </c>
      <c r="G44" s="25">
        <v>2.8719999999999999</v>
      </c>
      <c r="H44" t="s">
        <v>12</v>
      </c>
      <c r="I44" t="s">
        <v>111</v>
      </c>
    </row>
    <row r="45" spans="1:9">
      <c r="A45" t="s">
        <v>112</v>
      </c>
      <c r="B45" t="s">
        <v>53</v>
      </c>
      <c r="C45" t="s">
        <v>12</v>
      </c>
      <c r="D45" t="s">
        <v>63</v>
      </c>
      <c r="E45" s="105">
        <v>64913</v>
      </c>
      <c r="F45" s="106">
        <v>42302</v>
      </c>
      <c r="G45" s="25">
        <v>1</v>
      </c>
      <c r="H45" t="s">
        <v>35</v>
      </c>
      <c r="I45" t="s">
        <v>113</v>
      </c>
    </row>
    <row r="46" spans="1:9">
      <c r="A46" t="s">
        <v>114</v>
      </c>
      <c r="B46" t="s">
        <v>21</v>
      </c>
      <c r="C46" t="s">
        <v>41</v>
      </c>
      <c r="D46" t="s">
        <v>63</v>
      </c>
      <c r="E46" s="105">
        <v>35326</v>
      </c>
      <c r="F46" s="106">
        <v>42309</v>
      </c>
      <c r="G46" s="25">
        <v>2.8719999999999999</v>
      </c>
      <c r="H46" t="s">
        <v>35</v>
      </c>
      <c r="I46" t="s">
        <v>115</v>
      </c>
    </row>
    <row r="47" spans="1:9">
      <c r="A47" t="s">
        <v>116</v>
      </c>
      <c r="B47" t="s">
        <v>40</v>
      </c>
      <c r="C47" t="s">
        <v>10</v>
      </c>
      <c r="D47" t="s">
        <v>12</v>
      </c>
      <c r="E47" s="105">
        <v>81610</v>
      </c>
      <c r="F47" s="106">
        <v>42316</v>
      </c>
      <c r="G47" s="25">
        <v>1</v>
      </c>
      <c r="H47" t="s">
        <v>12</v>
      </c>
      <c r="I47" t="s">
        <v>117</v>
      </c>
    </row>
    <row r="48" spans="1:9">
      <c r="A48" t="s">
        <v>118</v>
      </c>
      <c r="B48" t="s">
        <v>12</v>
      </c>
      <c r="C48" t="s">
        <v>16</v>
      </c>
      <c r="D48" t="s">
        <v>12</v>
      </c>
      <c r="E48" s="105">
        <v>58962</v>
      </c>
      <c r="F48" s="106">
        <v>42323</v>
      </c>
      <c r="G48" s="25">
        <v>3</v>
      </c>
      <c r="H48" t="s">
        <v>18</v>
      </c>
      <c r="I48" t="s">
        <v>19</v>
      </c>
    </row>
    <row r="49" spans="1:9">
      <c r="A49" t="s">
        <v>119</v>
      </c>
      <c r="B49" t="s">
        <v>40</v>
      </c>
      <c r="C49" t="s">
        <v>33</v>
      </c>
      <c r="D49" t="s">
        <v>17</v>
      </c>
      <c r="E49" s="105">
        <v>92701</v>
      </c>
      <c r="F49" s="106">
        <v>42330</v>
      </c>
      <c r="G49" s="25">
        <v>3</v>
      </c>
      <c r="H49" t="s">
        <v>18</v>
      </c>
      <c r="I49" t="s">
        <v>120</v>
      </c>
    </row>
    <row r="50" spans="1:9">
      <c r="A50" t="s">
        <v>121</v>
      </c>
      <c r="B50" t="s">
        <v>40</v>
      </c>
      <c r="C50" t="s">
        <v>16</v>
      </c>
      <c r="D50" t="s">
        <v>34</v>
      </c>
      <c r="E50" s="105">
        <v>58245</v>
      </c>
      <c r="F50" s="106">
        <v>42337</v>
      </c>
      <c r="G50" s="25">
        <v>4</v>
      </c>
      <c r="H50" t="s">
        <v>12</v>
      </c>
      <c r="I50" t="s">
        <v>122</v>
      </c>
    </row>
    <row r="51" spans="1:9">
      <c r="A51" t="s">
        <v>123</v>
      </c>
      <c r="B51" t="s">
        <v>24</v>
      </c>
      <c r="C51" t="s">
        <v>10</v>
      </c>
      <c r="D51" t="s">
        <v>12</v>
      </c>
      <c r="E51" s="105">
        <v>66513</v>
      </c>
      <c r="F51" s="106">
        <v>42344</v>
      </c>
      <c r="G51" s="25">
        <v>2</v>
      </c>
      <c r="H51" t="s">
        <v>18</v>
      </c>
      <c r="I51" t="s">
        <v>36</v>
      </c>
    </row>
    <row r="52" spans="1:9">
      <c r="A52" t="s">
        <v>124</v>
      </c>
      <c r="B52" t="s">
        <v>15</v>
      </c>
      <c r="C52" t="s">
        <v>16</v>
      </c>
      <c r="D52" t="s">
        <v>17</v>
      </c>
      <c r="E52" s="105">
        <v>78720</v>
      </c>
      <c r="F52" s="106">
        <v>42351</v>
      </c>
      <c r="G52" s="25">
        <v>5</v>
      </c>
      <c r="H52" t="s">
        <v>35</v>
      </c>
      <c r="I52" t="s">
        <v>109</v>
      </c>
    </row>
    <row r="53" spans="1:9">
      <c r="A53" t="s">
        <v>125</v>
      </c>
      <c r="B53" t="s">
        <v>40</v>
      </c>
      <c r="C53" t="s">
        <v>12</v>
      </c>
      <c r="D53" t="s">
        <v>12</v>
      </c>
      <c r="E53" s="105">
        <v>30686</v>
      </c>
      <c r="F53" s="106" t="s">
        <v>12</v>
      </c>
      <c r="G53" s="25">
        <v>2</v>
      </c>
      <c r="H53" t="s">
        <v>35</v>
      </c>
      <c r="I53" t="s">
        <v>126</v>
      </c>
    </row>
    <row r="54" spans="1:9">
      <c r="A54" t="s">
        <v>127</v>
      </c>
      <c r="B54" t="s">
        <v>38</v>
      </c>
      <c r="C54" t="s">
        <v>25</v>
      </c>
      <c r="D54" t="s">
        <v>34</v>
      </c>
      <c r="E54" s="105">
        <v>39423</v>
      </c>
      <c r="F54" s="106">
        <v>42365</v>
      </c>
      <c r="G54" s="25">
        <v>5</v>
      </c>
      <c r="H54" t="s">
        <v>12</v>
      </c>
      <c r="I54" t="s">
        <v>128</v>
      </c>
    </row>
    <row r="55" spans="1:9">
      <c r="A55" t="s">
        <v>129</v>
      </c>
      <c r="B55" t="s">
        <v>15</v>
      </c>
      <c r="C55" t="s">
        <v>41</v>
      </c>
      <c r="D55" t="s">
        <v>12</v>
      </c>
      <c r="E55" s="105">
        <v>30280</v>
      </c>
      <c r="F55" s="106">
        <v>42372</v>
      </c>
      <c r="G55" s="25">
        <v>1</v>
      </c>
      <c r="H55" t="s">
        <v>12</v>
      </c>
      <c r="I55" t="s">
        <v>130</v>
      </c>
    </row>
    <row r="56" spans="1:9">
      <c r="A56" t="s">
        <v>131</v>
      </c>
      <c r="B56" t="s">
        <v>15</v>
      </c>
      <c r="C56" t="s">
        <v>10</v>
      </c>
      <c r="D56" t="s">
        <v>46</v>
      </c>
      <c r="E56" s="105">
        <v>33352</v>
      </c>
      <c r="F56" s="106">
        <v>42379</v>
      </c>
      <c r="G56" s="25">
        <v>3</v>
      </c>
      <c r="H56" t="s">
        <v>35</v>
      </c>
      <c r="I56" t="s">
        <v>70</v>
      </c>
    </row>
    <row r="57" spans="1:9">
      <c r="A57" t="s">
        <v>132</v>
      </c>
      <c r="B57" t="s">
        <v>53</v>
      </c>
      <c r="C57" t="s">
        <v>41</v>
      </c>
      <c r="D57" t="s">
        <v>46</v>
      </c>
      <c r="E57" s="105">
        <v>75633</v>
      </c>
      <c r="F57" s="106">
        <v>42386</v>
      </c>
      <c r="G57" s="25">
        <v>5</v>
      </c>
      <c r="H57" t="s">
        <v>18</v>
      </c>
      <c r="I57" t="s">
        <v>133</v>
      </c>
    </row>
    <row r="58" spans="1:9">
      <c r="A58" t="s">
        <v>134</v>
      </c>
      <c r="B58" t="s">
        <v>40</v>
      </c>
      <c r="C58" t="s">
        <v>12</v>
      </c>
      <c r="D58" t="s">
        <v>26</v>
      </c>
      <c r="E58" s="105">
        <v>74815</v>
      </c>
      <c r="F58" s="106">
        <v>42393</v>
      </c>
      <c r="G58" s="25">
        <v>5</v>
      </c>
      <c r="H58" t="s">
        <v>35</v>
      </c>
      <c r="I58" t="s">
        <v>135</v>
      </c>
    </row>
    <row r="59" spans="1:9">
      <c r="A59" t="s">
        <v>136</v>
      </c>
      <c r="B59" t="s">
        <v>24</v>
      </c>
      <c r="C59" t="s">
        <v>25</v>
      </c>
      <c r="D59" t="s">
        <v>63</v>
      </c>
      <c r="E59" s="105">
        <v>60011</v>
      </c>
      <c r="F59" s="106">
        <v>42400</v>
      </c>
      <c r="G59" s="25">
        <v>1</v>
      </c>
      <c r="H59" t="s">
        <v>27</v>
      </c>
      <c r="I59" t="s">
        <v>137</v>
      </c>
    </row>
    <row r="60" spans="1:9">
      <c r="A60" t="s">
        <v>138</v>
      </c>
      <c r="B60" t="s">
        <v>15</v>
      </c>
      <c r="C60" t="s">
        <v>12</v>
      </c>
      <c r="D60" t="s">
        <v>34</v>
      </c>
      <c r="E60" s="105">
        <v>96949</v>
      </c>
      <c r="F60" s="106">
        <v>42407</v>
      </c>
      <c r="G60" s="25">
        <v>3</v>
      </c>
      <c r="H60" t="s">
        <v>12</v>
      </c>
      <c r="I60" t="s">
        <v>84</v>
      </c>
    </row>
    <row r="61" spans="1:9">
      <c r="A61" t="s">
        <v>139</v>
      </c>
      <c r="B61" t="s">
        <v>38</v>
      </c>
      <c r="C61" t="s">
        <v>41</v>
      </c>
      <c r="D61" t="s">
        <v>12</v>
      </c>
      <c r="E61" s="105">
        <v>84924</v>
      </c>
      <c r="F61" s="106">
        <v>42414</v>
      </c>
      <c r="G61" s="25">
        <v>5</v>
      </c>
      <c r="H61" t="s">
        <v>27</v>
      </c>
      <c r="I61" t="s">
        <v>140</v>
      </c>
    </row>
    <row r="62" spans="1:9">
      <c r="A62" t="s">
        <v>141</v>
      </c>
      <c r="B62" t="s">
        <v>38</v>
      </c>
      <c r="C62" t="s">
        <v>10</v>
      </c>
      <c r="D62" t="s">
        <v>26</v>
      </c>
      <c r="E62" s="105">
        <v>82033</v>
      </c>
      <c r="F62" s="106">
        <v>42421</v>
      </c>
      <c r="G62" s="25">
        <v>1</v>
      </c>
      <c r="H62" t="s">
        <v>12</v>
      </c>
      <c r="I62" t="s">
        <v>117</v>
      </c>
    </row>
    <row r="63" spans="1:9">
      <c r="A63" t="s">
        <v>142</v>
      </c>
      <c r="B63" t="s">
        <v>12</v>
      </c>
      <c r="C63" t="s">
        <v>41</v>
      </c>
      <c r="D63" t="s">
        <v>17</v>
      </c>
      <c r="E63" s="105">
        <v>62745.946666666663</v>
      </c>
      <c r="F63" s="106" t="s">
        <v>12</v>
      </c>
      <c r="G63" s="25">
        <v>5</v>
      </c>
      <c r="H63" t="s">
        <v>12</v>
      </c>
      <c r="I63" t="s">
        <v>143</v>
      </c>
    </row>
    <row r="64" spans="1:9">
      <c r="A64" t="s">
        <v>144</v>
      </c>
      <c r="B64" t="s">
        <v>15</v>
      </c>
      <c r="C64" t="s">
        <v>12</v>
      </c>
      <c r="D64" t="s">
        <v>63</v>
      </c>
      <c r="E64" s="105">
        <v>31499</v>
      </c>
      <c r="F64" s="106">
        <v>42435</v>
      </c>
      <c r="G64" s="25">
        <v>2</v>
      </c>
      <c r="H64" t="s">
        <v>12</v>
      </c>
      <c r="I64" t="s">
        <v>101</v>
      </c>
    </row>
    <row r="65" spans="1:9">
      <c r="A65" t="s">
        <v>145</v>
      </c>
      <c r="B65" t="s">
        <v>40</v>
      </c>
      <c r="C65" t="s">
        <v>33</v>
      </c>
      <c r="D65" t="s">
        <v>46</v>
      </c>
      <c r="E65" s="105">
        <v>97981</v>
      </c>
      <c r="F65" s="106">
        <v>42442</v>
      </c>
      <c r="G65" s="25">
        <v>5</v>
      </c>
      <c r="H65" t="s">
        <v>35</v>
      </c>
      <c r="I65" t="s">
        <v>146</v>
      </c>
    </row>
    <row r="66" spans="1:9">
      <c r="A66" t="s">
        <v>147</v>
      </c>
      <c r="B66" t="s">
        <v>15</v>
      </c>
      <c r="C66" t="s">
        <v>16</v>
      </c>
      <c r="D66" t="s">
        <v>26</v>
      </c>
      <c r="E66" s="105">
        <v>36541</v>
      </c>
      <c r="F66" s="106">
        <v>42449</v>
      </c>
      <c r="G66" s="25">
        <v>2</v>
      </c>
      <c r="H66" t="s">
        <v>18</v>
      </c>
      <c r="I66" t="s">
        <v>148</v>
      </c>
    </row>
    <row r="67" spans="1:9">
      <c r="A67" t="s">
        <v>149</v>
      </c>
      <c r="B67" t="s">
        <v>24</v>
      </c>
      <c r="C67" t="s">
        <v>33</v>
      </c>
      <c r="D67" t="s">
        <v>34</v>
      </c>
      <c r="E67" s="105">
        <v>84737</v>
      </c>
      <c r="F67" s="106">
        <v>42456</v>
      </c>
      <c r="G67" s="25">
        <v>1</v>
      </c>
      <c r="H67" t="s">
        <v>27</v>
      </c>
      <c r="I67" t="s">
        <v>150</v>
      </c>
    </row>
    <row r="68" spans="1:9">
      <c r="A68" t="s">
        <v>151</v>
      </c>
      <c r="B68" t="s">
        <v>38</v>
      </c>
      <c r="C68" t="s">
        <v>10</v>
      </c>
      <c r="D68" t="s">
        <v>34</v>
      </c>
      <c r="E68" s="105">
        <v>33468</v>
      </c>
      <c r="F68" s="106">
        <v>42463</v>
      </c>
      <c r="G68" s="25">
        <v>4</v>
      </c>
      <c r="H68" t="s">
        <v>27</v>
      </c>
      <c r="I68" t="s">
        <v>152</v>
      </c>
    </row>
    <row r="69" spans="1:9">
      <c r="A69" t="s">
        <v>153</v>
      </c>
      <c r="B69" t="s">
        <v>38</v>
      </c>
      <c r="C69" t="s">
        <v>12</v>
      </c>
      <c r="D69" t="s">
        <v>63</v>
      </c>
      <c r="E69" s="105">
        <v>96365</v>
      </c>
      <c r="F69" s="106">
        <v>42470</v>
      </c>
      <c r="G69" s="25">
        <v>3</v>
      </c>
      <c r="H69" t="s">
        <v>18</v>
      </c>
      <c r="I69" t="s">
        <v>154</v>
      </c>
    </row>
    <row r="70" spans="1:9">
      <c r="A70" t="s">
        <v>155</v>
      </c>
      <c r="B70" t="s">
        <v>21</v>
      </c>
      <c r="C70" t="s">
        <v>25</v>
      </c>
      <c r="D70" t="s">
        <v>34</v>
      </c>
      <c r="E70" s="105">
        <v>61942</v>
      </c>
      <c r="F70" s="106">
        <v>42477</v>
      </c>
      <c r="G70" s="25">
        <v>3</v>
      </c>
      <c r="H70" t="s">
        <v>35</v>
      </c>
      <c r="I70" t="s">
        <v>156</v>
      </c>
    </row>
    <row r="71" spans="1:9">
      <c r="A71" t="s">
        <v>157</v>
      </c>
      <c r="B71" t="s">
        <v>38</v>
      </c>
      <c r="C71" t="s">
        <v>10</v>
      </c>
      <c r="D71" t="s">
        <v>46</v>
      </c>
      <c r="E71" s="105">
        <v>41467</v>
      </c>
      <c r="F71" s="106">
        <v>42484</v>
      </c>
      <c r="G71" s="25">
        <v>2</v>
      </c>
      <c r="H71" t="s">
        <v>12</v>
      </c>
      <c r="I71" t="s">
        <v>72</v>
      </c>
    </row>
    <row r="72" spans="1:9">
      <c r="A72" t="s">
        <v>158</v>
      </c>
      <c r="B72" t="s">
        <v>53</v>
      </c>
      <c r="C72" t="s">
        <v>10</v>
      </c>
      <c r="D72" t="s">
        <v>34</v>
      </c>
      <c r="E72" s="105">
        <v>77096</v>
      </c>
      <c r="F72" s="106">
        <v>42491</v>
      </c>
      <c r="G72" s="25">
        <v>1</v>
      </c>
      <c r="H72" t="s">
        <v>12</v>
      </c>
      <c r="I72" t="s">
        <v>159</v>
      </c>
    </row>
    <row r="73" spans="1:9">
      <c r="A73" t="s">
        <v>160</v>
      </c>
      <c r="B73" t="s">
        <v>15</v>
      </c>
      <c r="C73" t="s">
        <v>25</v>
      </c>
      <c r="D73" t="s">
        <v>63</v>
      </c>
      <c r="E73" s="105">
        <v>69952</v>
      </c>
      <c r="F73" s="106">
        <v>42498</v>
      </c>
      <c r="G73" s="25">
        <v>5</v>
      </c>
      <c r="H73" t="s">
        <v>35</v>
      </c>
      <c r="I73" t="s">
        <v>12</v>
      </c>
    </row>
    <row r="74" spans="1:9">
      <c r="A74" t="s">
        <v>161</v>
      </c>
      <c r="B74" t="s">
        <v>15</v>
      </c>
      <c r="C74" t="s">
        <v>41</v>
      </c>
      <c r="D74" t="s">
        <v>26</v>
      </c>
      <c r="E74" s="105">
        <v>85065</v>
      </c>
      <c r="F74" s="106">
        <v>42505</v>
      </c>
      <c r="G74" s="25">
        <v>3</v>
      </c>
      <c r="H74" t="s">
        <v>12</v>
      </c>
      <c r="I74" t="s">
        <v>162</v>
      </c>
    </row>
    <row r="75" spans="1:9">
      <c r="A75" t="s">
        <v>163</v>
      </c>
      <c r="B75" t="s">
        <v>53</v>
      </c>
      <c r="C75" t="s">
        <v>41</v>
      </c>
      <c r="D75" t="s">
        <v>34</v>
      </c>
      <c r="E75" s="105">
        <v>56512</v>
      </c>
      <c r="F75" s="106">
        <v>42512</v>
      </c>
      <c r="G75" s="25">
        <v>2.8719999999999999</v>
      </c>
      <c r="H75" t="s">
        <v>18</v>
      </c>
      <c r="I75" t="s">
        <v>47</v>
      </c>
    </row>
    <row r="76" spans="1:9">
      <c r="A76" t="s">
        <v>164</v>
      </c>
      <c r="B76" t="s">
        <v>24</v>
      </c>
      <c r="C76" t="s">
        <v>25</v>
      </c>
      <c r="D76" t="s">
        <v>34</v>
      </c>
      <c r="E76" s="105">
        <v>91101</v>
      </c>
      <c r="F76" s="106">
        <v>42519</v>
      </c>
      <c r="G76" s="25">
        <v>4</v>
      </c>
      <c r="H76" t="s">
        <v>35</v>
      </c>
      <c r="I76" t="s">
        <v>146</v>
      </c>
    </row>
    <row r="77" spans="1:9">
      <c r="A77" t="s">
        <v>165</v>
      </c>
      <c r="B77" t="s">
        <v>38</v>
      </c>
      <c r="C77" t="s">
        <v>12</v>
      </c>
      <c r="D77" t="s">
        <v>17</v>
      </c>
      <c r="E77" s="105">
        <v>41243</v>
      </c>
      <c r="F77" s="106">
        <v>42526</v>
      </c>
      <c r="G77" s="25">
        <v>2.8719999999999999</v>
      </c>
      <c r="H77" t="s">
        <v>12</v>
      </c>
      <c r="I77" t="s">
        <v>92</v>
      </c>
    </row>
    <row r="78" spans="1:9">
      <c r="A78" t="s">
        <v>166</v>
      </c>
      <c r="B78" t="s">
        <v>12</v>
      </c>
      <c r="C78" t="s">
        <v>25</v>
      </c>
      <c r="D78" t="s">
        <v>12</v>
      </c>
      <c r="E78" s="105">
        <v>96142</v>
      </c>
      <c r="F78" s="106">
        <v>42533</v>
      </c>
      <c r="G78" s="25">
        <v>1</v>
      </c>
      <c r="H78" t="s">
        <v>18</v>
      </c>
      <c r="I78" t="s">
        <v>167</v>
      </c>
    </row>
    <row r="79" spans="1:9">
      <c r="A79" t="s">
        <v>168</v>
      </c>
      <c r="B79" t="s">
        <v>15</v>
      </c>
      <c r="C79" t="s">
        <v>33</v>
      </c>
      <c r="D79" t="s">
        <v>34</v>
      </c>
      <c r="E79" s="105">
        <v>94301</v>
      </c>
      <c r="F79" s="106">
        <v>42540</v>
      </c>
      <c r="G79" s="25">
        <v>1</v>
      </c>
      <c r="H79" t="s">
        <v>27</v>
      </c>
      <c r="I79" t="s">
        <v>117</v>
      </c>
    </row>
    <row r="80" spans="1:9">
      <c r="A80" t="s">
        <v>169</v>
      </c>
      <c r="B80" t="s">
        <v>30</v>
      </c>
      <c r="C80" t="s">
        <v>12</v>
      </c>
      <c r="D80" t="s">
        <v>46</v>
      </c>
      <c r="E80" s="105">
        <v>69166</v>
      </c>
      <c r="F80" s="106">
        <v>42547</v>
      </c>
      <c r="G80" s="25">
        <v>1</v>
      </c>
      <c r="H80" t="s">
        <v>35</v>
      </c>
      <c r="I80" t="s">
        <v>170</v>
      </c>
    </row>
    <row r="81" spans="1:9">
      <c r="A81" t="s">
        <v>171</v>
      </c>
      <c r="B81" t="s">
        <v>38</v>
      </c>
      <c r="C81" t="s">
        <v>12</v>
      </c>
      <c r="D81" t="s">
        <v>46</v>
      </c>
      <c r="E81" s="105">
        <v>78245</v>
      </c>
      <c r="F81" s="106">
        <v>42554</v>
      </c>
      <c r="G81" s="25">
        <v>2</v>
      </c>
      <c r="H81" t="s">
        <v>12</v>
      </c>
      <c r="I81" t="s">
        <v>172</v>
      </c>
    </row>
    <row r="82" spans="1:9">
      <c r="A82" t="s">
        <v>173</v>
      </c>
      <c r="B82" t="s">
        <v>40</v>
      </c>
      <c r="C82" t="s">
        <v>25</v>
      </c>
      <c r="D82" t="s">
        <v>26</v>
      </c>
      <c r="E82" s="105">
        <v>66079</v>
      </c>
      <c r="F82" s="106">
        <v>42561</v>
      </c>
      <c r="G82" s="25">
        <v>2</v>
      </c>
      <c r="H82" t="s">
        <v>18</v>
      </c>
      <c r="I82" t="s">
        <v>174</v>
      </c>
    </row>
    <row r="83" spans="1:9">
      <c r="A83" t="s">
        <v>175</v>
      </c>
      <c r="B83" t="s">
        <v>15</v>
      </c>
      <c r="C83" t="s">
        <v>41</v>
      </c>
      <c r="D83" t="s">
        <v>34</v>
      </c>
      <c r="E83" s="105">
        <v>62745.946666666663</v>
      </c>
      <c r="F83" s="106" t="s">
        <v>12</v>
      </c>
      <c r="G83" s="25">
        <v>2.8719999999999999</v>
      </c>
      <c r="H83" t="s">
        <v>12</v>
      </c>
      <c r="I83" t="s">
        <v>86</v>
      </c>
    </row>
    <row r="84" spans="1:9">
      <c r="A84" t="s">
        <v>176</v>
      </c>
      <c r="B84" t="s">
        <v>30</v>
      </c>
      <c r="C84" t="s">
        <v>25</v>
      </c>
      <c r="D84" t="s">
        <v>26</v>
      </c>
      <c r="E84" s="105">
        <v>95621</v>
      </c>
      <c r="F84" s="106">
        <v>42575</v>
      </c>
      <c r="G84" s="25">
        <v>3</v>
      </c>
      <c r="H84" t="s">
        <v>35</v>
      </c>
      <c r="I84" t="s">
        <v>177</v>
      </c>
    </row>
    <row r="85" spans="1:9">
      <c r="A85" t="s">
        <v>178</v>
      </c>
      <c r="B85" t="s">
        <v>15</v>
      </c>
      <c r="C85" t="s">
        <v>33</v>
      </c>
      <c r="D85" t="s">
        <v>46</v>
      </c>
      <c r="E85" s="105">
        <v>42262</v>
      </c>
      <c r="F85" s="106">
        <v>42582</v>
      </c>
      <c r="G85" s="25">
        <v>1</v>
      </c>
      <c r="H85" t="s">
        <v>12</v>
      </c>
      <c r="I85" t="s">
        <v>179</v>
      </c>
    </row>
    <row r="86" spans="1:9">
      <c r="A86" t="s">
        <v>180</v>
      </c>
      <c r="B86" t="s">
        <v>38</v>
      </c>
      <c r="C86" t="s">
        <v>25</v>
      </c>
      <c r="D86" t="s">
        <v>34</v>
      </c>
      <c r="E86" s="105">
        <v>99621</v>
      </c>
      <c r="F86" s="106">
        <v>42589</v>
      </c>
      <c r="G86" s="25">
        <v>2.8719999999999999</v>
      </c>
      <c r="H86" t="s">
        <v>18</v>
      </c>
      <c r="I86" t="s">
        <v>181</v>
      </c>
    </row>
    <row r="87" spans="1:9">
      <c r="A87" t="s">
        <v>182</v>
      </c>
      <c r="B87" t="s">
        <v>24</v>
      </c>
      <c r="C87" t="s">
        <v>41</v>
      </c>
      <c r="D87" t="s">
        <v>34</v>
      </c>
      <c r="E87" s="105">
        <v>44682</v>
      </c>
      <c r="F87" s="106">
        <v>42596</v>
      </c>
      <c r="G87" s="25">
        <v>4</v>
      </c>
      <c r="H87" t="s">
        <v>35</v>
      </c>
      <c r="I87" t="s">
        <v>111</v>
      </c>
    </row>
    <row r="88" spans="1:9">
      <c r="A88" t="s">
        <v>183</v>
      </c>
      <c r="B88" t="s">
        <v>40</v>
      </c>
      <c r="C88" t="s">
        <v>10</v>
      </c>
      <c r="D88" t="s">
        <v>12</v>
      </c>
      <c r="E88" s="105">
        <v>35163</v>
      </c>
      <c r="F88" s="106">
        <v>42603</v>
      </c>
      <c r="G88" s="25">
        <v>5</v>
      </c>
      <c r="H88" t="s">
        <v>18</v>
      </c>
      <c r="I88" t="s">
        <v>184</v>
      </c>
    </row>
    <row r="89" spans="1:9">
      <c r="A89" t="s">
        <v>185</v>
      </c>
      <c r="B89" t="s">
        <v>40</v>
      </c>
      <c r="C89" t="s">
        <v>33</v>
      </c>
      <c r="D89" t="s">
        <v>34</v>
      </c>
      <c r="E89" s="105">
        <v>33483</v>
      </c>
      <c r="F89" s="106">
        <v>42610</v>
      </c>
      <c r="G89" s="25">
        <v>4</v>
      </c>
      <c r="H89" t="s">
        <v>27</v>
      </c>
      <c r="I89" t="s">
        <v>186</v>
      </c>
    </row>
    <row r="90" spans="1:9">
      <c r="A90" t="s">
        <v>187</v>
      </c>
      <c r="B90" t="s">
        <v>38</v>
      </c>
      <c r="C90" t="s">
        <v>16</v>
      </c>
      <c r="D90" t="s">
        <v>17</v>
      </c>
      <c r="E90" s="105">
        <v>55303</v>
      </c>
      <c r="F90" s="106">
        <v>42617</v>
      </c>
      <c r="G90" s="25">
        <v>4</v>
      </c>
      <c r="H90" t="s">
        <v>27</v>
      </c>
      <c r="I90" t="s">
        <v>76</v>
      </c>
    </row>
    <row r="91" spans="1:9">
      <c r="A91" t="s">
        <v>188</v>
      </c>
      <c r="B91" t="s">
        <v>40</v>
      </c>
      <c r="C91" t="s">
        <v>33</v>
      </c>
      <c r="D91" t="s">
        <v>12</v>
      </c>
      <c r="E91" s="105">
        <v>63434</v>
      </c>
      <c r="F91" s="106">
        <v>42624</v>
      </c>
      <c r="G91" s="25">
        <v>3</v>
      </c>
      <c r="H91" t="s">
        <v>12</v>
      </c>
      <c r="I91" t="s">
        <v>189</v>
      </c>
    </row>
    <row r="92" spans="1:9">
      <c r="A92" t="s">
        <v>190</v>
      </c>
      <c r="B92" t="s">
        <v>30</v>
      </c>
      <c r="C92" t="s">
        <v>12</v>
      </c>
      <c r="D92" t="s">
        <v>63</v>
      </c>
      <c r="E92" s="105">
        <v>38830</v>
      </c>
      <c r="F92" s="106">
        <v>42631</v>
      </c>
      <c r="G92" s="25">
        <v>3</v>
      </c>
      <c r="H92" t="s">
        <v>18</v>
      </c>
      <c r="I92" t="s">
        <v>76</v>
      </c>
    </row>
    <row r="93" spans="1:9">
      <c r="A93" t="s">
        <v>191</v>
      </c>
      <c r="B93" t="s">
        <v>12</v>
      </c>
      <c r="C93" t="s">
        <v>41</v>
      </c>
      <c r="D93" t="s">
        <v>46</v>
      </c>
      <c r="E93" s="105">
        <v>50741</v>
      </c>
      <c r="F93" s="106">
        <v>42638</v>
      </c>
      <c r="G93" s="25">
        <v>3</v>
      </c>
      <c r="H93" t="s">
        <v>12</v>
      </c>
      <c r="I93" t="s">
        <v>159</v>
      </c>
    </row>
    <row r="94" spans="1:9">
      <c r="A94" t="s">
        <v>192</v>
      </c>
      <c r="B94" t="s">
        <v>21</v>
      </c>
      <c r="C94" t="s">
        <v>16</v>
      </c>
      <c r="D94" t="s">
        <v>63</v>
      </c>
      <c r="E94" s="105">
        <v>69420</v>
      </c>
      <c r="F94" s="106">
        <v>42645</v>
      </c>
      <c r="G94" s="25">
        <v>1</v>
      </c>
      <c r="H94" t="s">
        <v>27</v>
      </c>
      <c r="I94" t="s">
        <v>122</v>
      </c>
    </row>
    <row r="95" spans="1:9">
      <c r="A95" t="s">
        <v>193</v>
      </c>
      <c r="B95" t="s">
        <v>30</v>
      </c>
      <c r="C95" t="s">
        <v>33</v>
      </c>
      <c r="D95" t="s">
        <v>12</v>
      </c>
      <c r="E95" s="105">
        <v>80588</v>
      </c>
      <c r="F95" s="106">
        <v>42652</v>
      </c>
      <c r="G95" s="25">
        <v>5</v>
      </c>
      <c r="H95" t="s">
        <v>27</v>
      </c>
      <c r="I95" t="s">
        <v>103</v>
      </c>
    </row>
    <row r="96" spans="1:9">
      <c r="A96" t="s">
        <v>194</v>
      </c>
      <c r="B96" t="s">
        <v>21</v>
      </c>
      <c r="C96" t="s">
        <v>12</v>
      </c>
      <c r="D96" t="s">
        <v>26</v>
      </c>
      <c r="E96" s="105">
        <v>76238</v>
      </c>
      <c r="F96" s="106">
        <v>42659</v>
      </c>
      <c r="G96" s="25">
        <v>4</v>
      </c>
      <c r="H96" t="s">
        <v>27</v>
      </c>
      <c r="I96" t="s">
        <v>195</v>
      </c>
    </row>
    <row r="97" spans="1:9">
      <c r="A97" t="s">
        <v>196</v>
      </c>
      <c r="B97" t="s">
        <v>53</v>
      </c>
      <c r="C97" t="s">
        <v>33</v>
      </c>
      <c r="D97" t="s">
        <v>34</v>
      </c>
      <c r="E97" s="105">
        <v>33264</v>
      </c>
      <c r="F97" s="106">
        <v>42666</v>
      </c>
      <c r="G97" s="25">
        <v>2.8719999999999999</v>
      </c>
      <c r="H97" t="s">
        <v>35</v>
      </c>
      <c r="I97" t="s">
        <v>197</v>
      </c>
    </row>
    <row r="98" spans="1:9">
      <c r="A98" t="s">
        <v>198</v>
      </c>
      <c r="B98" t="s">
        <v>21</v>
      </c>
      <c r="C98" t="s">
        <v>10</v>
      </c>
      <c r="D98" t="s">
        <v>63</v>
      </c>
      <c r="E98" s="105">
        <v>96101</v>
      </c>
      <c r="F98" s="106">
        <v>42673</v>
      </c>
      <c r="G98" s="25">
        <v>2.8719999999999999</v>
      </c>
      <c r="H98" t="s">
        <v>18</v>
      </c>
      <c r="I98" t="s">
        <v>199</v>
      </c>
    </row>
    <row r="99" spans="1:9">
      <c r="A99" t="s">
        <v>200</v>
      </c>
      <c r="B99" t="s">
        <v>30</v>
      </c>
      <c r="C99" t="s">
        <v>10</v>
      </c>
      <c r="D99" t="s">
        <v>26</v>
      </c>
      <c r="E99" s="105">
        <v>72939</v>
      </c>
      <c r="F99" s="106">
        <v>42680</v>
      </c>
      <c r="G99" s="25">
        <v>3</v>
      </c>
      <c r="H99" t="s">
        <v>12</v>
      </c>
      <c r="I99" t="s">
        <v>201</v>
      </c>
    </row>
    <row r="100" spans="1:9">
      <c r="A100" t="s">
        <v>202</v>
      </c>
      <c r="B100" t="s">
        <v>38</v>
      </c>
      <c r="C100" t="s">
        <v>16</v>
      </c>
      <c r="D100" t="s">
        <v>17</v>
      </c>
      <c r="E100" s="105">
        <v>89333</v>
      </c>
      <c r="F100" s="106">
        <v>42687</v>
      </c>
      <c r="G100" s="25">
        <v>1</v>
      </c>
      <c r="H100" t="s">
        <v>27</v>
      </c>
      <c r="I100" t="s">
        <v>203</v>
      </c>
    </row>
    <row r="101" spans="1:9">
      <c r="A101" t="s">
        <v>204</v>
      </c>
      <c r="B101" t="s">
        <v>53</v>
      </c>
      <c r="C101" t="s">
        <v>33</v>
      </c>
      <c r="D101" t="s">
        <v>63</v>
      </c>
      <c r="E101" s="105">
        <v>70470</v>
      </c>
      <c r="F101" s="106">
        <v>42694</v>
      </c>
      <c r="G101" s="25">
        <v>2.8719999999999999</v>
      </c>
      <c r="H101" t="s">
        <v>27</v>
      </c>
      <c r="I101" t="s">
        <v>205</v>
      </c>
    </row>
    <row r="102" spans="1:9">
      <c r="A102" t="s">
        <v>206</v>
      </c>
      <c r="B102" t="s">
        <v>15</v>
      </c>
      <c r="C102" t="s">
        <v>41</v>
      </c>
      <c r="D102" t="s">
        <v>26</v>
      </c>
      <c r="E102" s="105">
        <v>70096</v>
      </c>
      <c r="F102" s="106">
        <v>42701</v>
      </c>
      <c r="G102" s="25">
        <v>4</v>
      </c>
      <c r="H102" t="s">
        <v>27</v>
      </c>
      <c r="I102" t="s">
        <v>207</v>
      </c>
    </row>
    <row r="103" spans="1:9">
      <c r="A103" t="s">
        <v>208</v>
      </c>
      <c r="B103" t="s">
        <v>53</v>
      </c>
      <c r="C103" t="s">
        <v>41</v>
      </c>
      <c r="D103" t="s">
        <v>12</v>
      </c>
      <c r="E103" s="105">
        <v>62745.946666666663</v>
      </c>
      <c r="F103" s="106">
        <v>42708</v>
      </c>
      <c r="G103" s="25">
        <v>2</v>
      </c>
      <c r="H103" t="s">
        <v>18</v>
      </c>
      <c r="I103" t="s">
        <v>209</v>
      </c>
    </row>
    <row r="104" spans="1:9">
      <c r="A104" t="s">
        <v>210</v>
      </c>
      <c r="B104" t="s">
        <v>53</v>
      </c>
      <c r="C104" t="s">
        <v>33</v>
      </c>
      <c r="D104" t="s">
        <v>17</v>
      </c>
      <c r="E104" s="105">
        <v>66503</v>
      </c>
      <c r="F104" s="106">
        <v>42715</v>
      </c>
      <c r="G104" s="25">
        <v>2.8719999999999999</v>
      </c>
      <c r="H104" t="s">
        <v>27</v>
      </c>
      <c r="I104" t="s">
        <v>70</v>
      </c>
    </row>
    <row r="105" spans="1:9">
      <c r="A105" t="s">
        <v>211</v>
      </c>
      <c r="B105" t="s">
        <v>21</v>
      </c>
      <c r="C105" t="s">
        <v>16</v>
      </c>
      <c r="D105" t="s">
        <v>17</v>
      </c>
      <c r="E105" s="105">
        <v>42096</v>
      </c>
      <c r="F105" s="106">
        <v>42722</v>
      </c>
      <c r="G105" s="25">
        <v>2.8719999999999999</v>
      </c>
      <c r="H105" t="s">
        <v>35</v>
      </c>
      <c r="I105" t="s">
        <v>212</v>
      </c>
    </row>
    <row r="106" spans="1:9">
      <c r="A106" t="s">
        <v>213</v>
      </c>
      <c r="B106" t="s">
        <v>21</v>
      </c>
      <c r="C106" t="s">
        <v>41</v>
      </c>
      <c r="D106" t="s">
        <v>12</v>
      </c>
      <c r="E106" s="105">
        <v>79145</v>
      </c>
      <c r="F106" s="106">
        <v>42729</v>
      </c>
      <c r="G106" s="25">
        <v>5</v>
      </c>
      <c r="H106" t="s">
        <v>18</v>
      </c>
      <c r="I106" t="s">
        <v>117</v>
      </c>
    </row>
    <row r="107" spans="1:9">
      <c r="A107" t="s">
        <v>214</v>
      </c>
      <c r="B107" t="s">
        <v>30</v>
      </c>
      <c r="C107" t="s">
        <v>12</v>
      </c>
      <c r="D107" t="s">
        <v>63</v>
      </c>
      <c r="E107" s="105">
        <v>61556</v>
      </c>
      <c r="F107" s="106">
        <v>42736</v>
      </c>
      <c r="G107" s="25">
        <v>1</v>
      </c>
      <c r="H107" t="s">
        <v>12</v>
      </c>
      <c r="I107" t="s">
        <v>209</v>
      </c>
    </row>
    <row r="108" spans="1:9">
      <c r="A108" t="s">
        <v>215</v>
      </c>
      <c r="B108" t="s">
        <v>12</v>
      </c>
      <c r="C108" t="s">
        <v>16</v>
      </c>
      <c r="D108" t="s">
        <v>46</v>
      </c>
      <c r="E108" s="105">
        <v>87963</v>
      </c>
      <c r="F108" s="106">
        <v>42743</v>
      </c>
      <c r="G108" s="25">
        <v>3</v>
      </c>
      <c r="H108" t="s">
        <v>18</v>
      </c>
      <c r="I108" t="s">
        <v>12</v>
      </c>
    </row>
    <row r="109" spans="1:9">
      <c r="A109" t="s">
        <v>216</v>
      </c>
      <c r="B109" t="s">
        <v>15</v>
      </c>
      <c r="C109" t="s">
        <v>33</v>
      </c>
      <c r="D109" t="s">
        <v>12</v>
      </c>
      <c r="E109" s="105">
        <v>48325</v>
      </c>
      <c r="F109" s="106">
        <v>42750</v>
      </c>
      <c r="G109" s="25">
        <v>2.8719999999999999</v>
      </c>
      <c r="H109" t="s">
        <v>27</v>
      </c>
      <c r="I109" t="s">
        <v>217</v>
      </c>
    </row>
    <row r="110" spans="1:9">
      <c r="A110" t="s">
        <v>218</v>
      </c>
      <c r="B110" t="s">
        <v>38</v>
      </c>
      <c r="C110" t="s">
        <v>41</v>
      </c>
      <c r="D110" t="s">
        <v>63</v>
      </c>
      <c r="E110" s="105">
        <v>86412</v>
      </c>
      <c r="F110" s="106">
        <v>42757</v>
      </c>
      <c r="G110" s="25">
        <v>2</v>
      </c>
      <c r="H110" t="s">
        <v>35</v>
      </c>
      <c r="I110" t="s">
        <v>74</v>
      </c>
    </row>
    <row r="111" spans="1:9">
      <c r="A111" t="s">
        <v>219</v>
      </c>
      <c r="B111" t="s">
        <v>38</v>
      </c>
      <c r="C111" t="s">
        <v>16</v>
      </c>
      <c r="D111" t="s">
        <v>12</v>
      </c>
      <c r="E111" s="105">
        <v>66761</v>
      </c>
      <c r="F111" s="106">
        <v>42764</v>
      </c>
      <c r="G111" s="25">
        <v>1</v>
      </c>
      <c r="H111" t="s">
        <v>12</v>
      </c>
      <c r="I111" t="s">
        <v>220</v>
      </c>
    </row>
    <row r="112" spans="1:9">
      <c r="A112" t="s">
        <v>221</v>
      </c>
      <c r="B112" t="s">
        <v>30</v>
      </c>
      <c r="C112" t="s">
        <v>12</v>
      </c>
      <c r="D112" t="s">
        <v>34</v>
      </c>
      <c r="E112" s="105">
        <v>88850</v>
      </c>
      <c r="F112" s="106">
        <v>42771</v>
      </c>
      <c r="G112" s="25">
        <v>1</v>
      </c>
      <c r="H112" t="s">
        <v>35</v>
      </c>
      <c r="I112" t="s">
        <v>222</v>
      </c>
    </row>
    <row r="113" spans="1:9">
      <c r="A113" t="s">
        <v>223</v>
      </c>
      <c r="B113" t="s">
        <v>40</v>
      </c>
      <c r="C113" t="s">
        <v>25</v>
      </c>
      <c r="D113" t="s">
        <v>34</v>
      </c>
      <c r="E113" s="105">
        <v>31293</v>
      </c>
      <c r="F113" s="106" t="s">
        <v>12</v>
      </c>
      <c r="G113" s="25">
        <v>2</v>
      </c>
      <c r="H113" t="s">
        <v>35</v>
      </c>
      <c r="I113" t="s">
        <v>224</v>
      </c>
    </row>
    <row r="114" spans="1:9">
      <c r="A114" t="s">
        <v>225</v>
      </c>
      <c r="B114" t="s">
        <v>40</v>
      </c>
      <c r="C114" t="s">
        <v>33</v>
      </c>
      <c r="D114" t="s">
        <v>26</v>
      </c>
      <c r="E114" s="105">
        <v>34306</v>
      </c>
      <c r="F114" s="106">
        <v>42785</v>
      </c>
      <c r="G114" s="25">
        <v>5</v>
      </c>
      <c r="H114" t="s">
        <v>35</v>
      </c>
      <c r="I114" t="s">
        <v>156</v>
      </c>
    </row>
    <row r="115" spans="1:9">
      <c r="A115" t="s">
        <v>226</v>
      </c>
      <c r="B115" t="s">
        <v>15</v>
      </c>
      <c r="C115" t="s">
        <v>10</v>
      </c>
      <c r="D115" t="s">
        <v>34</v>
      </c>
      <c r="E115" s="105">
        <v>78330</v>
      </c>
      <c r="F115" s="106">
        <v>42792</v>
      </c>
      <c r="G115" s="25">
        <v>2.8719999999999999</v>
      </c>
      <c r="H115" t="s">
        <v>18</v>
      </c>
      <c r="I115" t="s">
        <v>207</v>
      </c>
    </row>
    <row r="116" spans="1:9">
      <c r="A116" t="s">
        <v>227</v>
      </c>
      <c r="B116" t="s">
        <v>21</v>
      </c>
      <c r="C116" t="s">
        <v>33</v>
      </c>
      <c r="D116" t="s">
        <v>26</v>
      </c>
      <c r="E116" s="105">
        <v>47653</v>
      </c>
      <c r="F116" s="106">
        <v>42799</v>
      </c>
      <c r="G116" s="25">
        <v>1</v>
      </c>
      <c r="H116" t="s">
        <v>27</v>
      </c>
      <c r="I116" t="s">
        <v>228</v>
      </c>
    </row>
    <row r="117" spans="1:9">
      <c r="A117" t="s">
        <v>229</v>
      </c>
      <c r="B117" t="s">
        <v>15</v>
      </c>
      <c r="C117" t="s">
        <v>41</v>
      </c>
      <c r="D117" t="s">
        <v>46</v>
      </c>
      <c r="E117" s="105">
        <v>44627</v>
      </c>
      <c r="F117" s="106">
        <v>42806</v>
      </c>
      <c r="G117" s="25">
        <v>4</v>
      </c>
      <c r="H117" t="s">
        <v>12</v>
      </c>
      <c r="I117" t="s">
        <v>148</v>
      </c>
    </row>
    <row r="118" spans="1:9">
      <c r="A118" t="s">
        <v>230</v>
      </c>
      <c r="B118" t="s">
        <v>53</v>
      </c>
      <c r="C118" t="s">
        <v>16</v>
      </c>
      <c r="D118" t="s">
        <v>17</v>
      </c>
      <c r="E118" s="105">
        <v>92343</v>
      </c>
      <c r="F118" s="106">
        <v>42813</v>
      </c>
      <c r="G118" s="25">
        <v>4</v>
      </c>
      <c r="H118" t="s">
        <v>35</v>
      </c>
      <c r="I118" t="s">
        <v>76</v>
      </c>
    </row>
    <row r="119" spans="1:9">
      <c r="A119" t="s">
        <v>231</v>
      </c>
      <c r="B119" t="s">
        <v>53</v>
      </c>
      <c r="C119" t="s">
        <v>41</v>
      </c>
      <c r="D119" t="s">
        <v>63</v>
      </c>
      <c r="E119" s="105">
        <v>38837</v>
      </c>
      <c r="F119" s="106">
        <v>42820</v>
      </c>
      <c r="G119" s="25">
        <v>5</v>
      </c>
      <c r="H119" t="s">
        <v>35</v>
      </c>
      <c r="I119" t="s">
        <v>156</v>
      </c>
    </row>
    <row r="120" spans="1:9">
      <c r="A120" t="s">
        <v>232</v>
      </c>
      <c r="B120" t="s">
        <v>53</v>
      </c>
      <c r="C120" t="s">
        <v>41</v>
      </c>
      <c r="D120" t="s">
        <v>12</v>
      </c>
      <c r="E120" s="105">
        <v>73483</v>
      </c>
      <c r="F120" s="106">
        <v>42827</v>
      </c>
      <c r="G120" s="25">
        <v>1</v>
      </c>
      <c r="H120" t="s">
        <v>12</v>
      </c>
      <c r="I120" t="s">
        <v>233</v>
      </c>
    </row>
    <row r="121" spans="1:9">
      <c r="A121" t="s">
        <v>234</v>
      </c>
      <c r="B121" t="s">
        <v>40</v>
      </c>
      <c r="C121" t="s">
        <v>25</v>
      </c>
      <c r="D121" t="s">
        <v>34</v>
      </c>
      <c r="E121" s="105">
        <v>95032</v>
      </c>
      <c r="F121" s="106">
        <v>42834</v>
      </c>
      <c r="G121" s="25">
        <v>3</v>
      </c>
      <c r="H121" t="s">
        <v>12</v>
      </c>
      <c r="I121" t="s">
        <v>235</v>
      </c>
    </row>
    <row r="122" spans="1:9">
      <c r="A122" t="s">
        <v>236</v>
      </c>
      <c r="B122" t="s">
        <v>15</v>
      </c>
      <c r="C122" t="s">
        <v>25</v>
      </c>
      <c r="D122" t="s">
        <v>63</v>
      </c>
      <c r="E122" s="105">
        <v>44358</v>
      </c>
      <c r="F122" s="106">
        <v>42841</v>
      </c>
      <c r="G122" s="25">
        <v>2.8719999999999999</v>
      </c>
      <c r="H122" t="s">
        <v>35</v>
      </c>
      <c r="I122" t="s">
        <v>70</v>
      </c>
    </row>
    <row r="123" spans="1:9">
      <c r="A123" t="s">
        <v>237</v>
      </c>
      <c r="B123" t="s">
        <v>12</v>
      </c>
      <c r="C123" t="s">
        <v>33</v>
      </c>
      <c r="D123" t="s">
        <v>26</v>
      </c>
      <c r="E123" s="105">
        <v>62745.946666666663</v>
      </c>
      <c r="F123" s="106" t="s">
        <v>12</v>
      </c>
      <c r="G123" s="25">
        <v>5</v>
      </c>
      <c r="H123" t="s">
        <v>12</v>
      </c>
      <c r="I123" t="s">
        <v>238</v>
      </c>
    </row>
    <row r="124" spans="1:9">
      <c r="A124" t="s">
        <v>239</v>
      </c>
      <c r="B124" t="s">
        <v>40</v>
      </c>
      <c r="C124" t="s">
        <v>25</v>
      </c>
      <c r="D124" t="s">
        <v>26</v>
      </c>
      <c r="E124" s="105">
        <v>45676</v>
      </c>
      <c r="F124" s="106">
        <v>42855</v>
      </c>
      <c r="G124" s="25">
        <v>2</v>
      </c>
      <c r="H124" t="s">
        <v>12</v>
      </c>
      <c r="I124" t="s">
        <v>240</v>
      </c>
    </row>
    <row r="125" spans="1:9">
      <c r="A125" t="s">
        <v>241</v>
      </c>
      <c r="B125" t="s">
        <v>53</v>
      </c>
      <c r="C125" t="s">
        <v>25</v>
      </c>
      <c r="D125" t="s">
        <v>17</v>
      </c>
      <c r="E125" s="105">
        <v>52036</v>
      </c>
      <c r="F125" s="106">
        <v>42862</v>
      </c>
      <c r="G125" s="25">
        <v>3</v>
      </c>
      <c r="H125" t="s">
        <v>27</v>
      </c>
      <c r="I125" t="s">
        <v>242</v>
      </c>
    </row>
    <row r="126" spans="1:9">
      <c r="A126" t="s">
        <v>243</v>
      </c>
      <c r="B126" t="s">
        <v>30</v>
      </c>
      <c r="C126" t="s">
        <v>12</v>
      </c>
      <c r="D126" t="s">
        <v>17</v>
      </c>
      <c r="E126" s="105">
        <v>30357</v>
      </c>
      <c r="F126" s="106">
        <v>42869</v>
      </c>
      <c r="G126" s="25">
        <v>5</v>
      </c>
      <c r="H126" t="s">
        <v>27</v>
      </c>
      <c r="I126" t="s">
        <v>181</v>
      </c>
    </row>
    <row r="127" spans="1:9">
      <c r="A127" t="s">
        <v>244</v>
      </c>
      <c r="B127" t="s">
        <v>24</v>
      </c>
      <c r="C127" t="s">
        <v>33</v>
      </c>
      <c r="D127" t="s">
        <v>12</v>
      </c>
      <c r="E127" s="105">
        <v>60034</v>
      </c>
      <c r="F127" s="106">
        <v>42876</v>
      </c>
      <c r="G127" s="25">
        <v>1</v>
      </c>
      <c r="H127" t="s">
        <v>35</v>
      </c>
      <c r="I127" t="s">
        <v>245</v>
      </c>
    </row>
    <row r="128" spans="1:9">
      <c r="A128" t="s">
        <v>246</v>
      </c>
      <c r="B128" t="s">
        <v>24</v>
      </c>
      <c r="C128" t="s">
        <v>10</v>
      </c>
      <c r="D128" t="s">
        <v>12</v>
      </c>
      <c r="E128" s="105">
        <v>90019</v>
      </c>
      <c r="F128" s="106">
        <v>42883</v>
      </c>
      <c r="G128" s="25">
        <v>5</v>
      </c>
      <c r="H128" t="s">
        <v>12</v>
      </c>
      <c r="I128" t="s">
        <v>247</v>
      </c>
    </row>
    <row r="129" spans="1:9">
      <c r="A129" t="s">
        <v>248</v>
      </c>
      <c r="B129" t="s">
        <v>53</v>
      </c>
      <c r="C129" t="s">
        <v>12</v>
      </c>
      <c r="D129" t="s">
        <v>17</v>
      </c>
      <c r="E129" s="105">
        <v>71494</v>
      </c>
      <c r="F129" s="106">
        <v>42890</v>
      </c>
      <c r="G129" s="25">
        <v>3</v>
      </c>
      <c r="H129" t="s">
        <v>27</v>
      </c>
      <c r="I129" t="s">
        <v>249</v>
      </c>
    </row>
    <row r="130" spans="1:9">
      <c r="A130" t="s">
        <v>250</v>
      </c>
      <c r="B130" t="s">
        <v>24</v>
      </c>
      <c r="C130" t="s">
        <v>10</v>
      </c>
      <c r="D130" t="s">
        <v>26</v>
      </c>
      <c r="E130" s="105">
        <v>91953</v>
      </c>
      <c r="F130" s="106">
        <v>42897</v>
      </c>
      <c r="G130" s="25">
        <v>2</v>
      </c>
      <c r="H130" t="s">
        <v>27</v>
      </c>
      <c r="I130" t="s">
        <v>88</v>
      </c>
    </row>
    <row r="131" spans="1:9">
      <c r="A131" t="s">
        <v>251</v>
      </c>
      <c r="B131" t="s">
        <v>40</v>
      </c>
      <c r="C131" t="s">
        <v>25</v>
      </c>
      <c r="D131" t="s">
        <v>26</v>
      </c>
      <c r="E131" s="105">
        <v>30402</v>
      </c>
      <c r="F131" s="106">
        <v>42904</v>
      </c>
      <c r="G131" s="25">
        <v>1</v>
      </c>
      <c r="H131" t="s">
        <v>12</v>
      </c>
      <c r="I131" t="s">
        <v>252</v>
      </c>
    </row>
    <row r="132" spans="1:9">
      <c r="A132" t="s">
        <v>253</v>
      </c>
      <c r="B132" t="s">
        <v>53</v>
      </c>
      <c r="C132" t="s">
        <v>12</v>
      </c>
      <c r="D132" t="s">
        <v>46</v>
      </c>
      <c r="E132" s="105">
        <v>62994</v>
      </c>
      <c r="F132" s="106">
        <v>42911</v>
      </c>
      <c r="G132" s="25">
        <v>2.8719999999999999</v>
      </c>
      <c r="H132" t="s">
        <v>12</v>
      </c>
      <c r="I132" t="s">
        <v>113</v>
      </c>
    </row>
    <row r="133" spans="1:9">
      <c r="A133" t="s">
        <v>254</v>
      </c>
      <c r="B133" t="s">
        <v>21</v>
      </c>
      <c r="C133" t="s">
        <v>25</v>
      </c>
      <c r="D133" t="s">
        <v>34</v>
      </c>
      <c r="E133" s="105">
        <v>48289</v>
      </c>
      <c r="F133" s="106" t="s">
        <v>12</v>
      </c>
      <c r="G133" s="25">
        <v>3</v>
      </c>
      <c r="H133" t="s">
        <v>27</v>
      </c>
      <c r="I133" t="s">
        <v>44</v>
      </c>
    </row>
    <row r="134" spans="1:9">
      <c r="A134" t="s">
        <v>255</v>
      </c>
      <c r="B134" t="s">
        <v>38</v>
      </c>
      <c r="C134" t="s">
        <v>41</v>
      </c>
      <c r="D134" t="s">
        <v>17</v>
      </c>
      <c r="E134" s="105">
        <v>34402</v>
      </c>
      <c r="F134" s="106">
        <v>42925</v>
      </c>
      <c r="G134" s="25">
        <v>3</v>
      </c>
      <c r="H134" t="s">
        <v>18</v>
      </c>
      <c r="I134" t="s">
        <v>107</v>
      </c>
    </row>
    <row r="135" spans="1:9">
      <c r="A135" t="s">
        <v>256</v>
      </c>
      <c r="B135" t="s">
        <v>15</v>
      </c>
      <c r="C135" t="s">
        <v>16</v>
      </c>
      <c r="D135" t="s">
        <v>26</v>
      </c>
      <c r="E135" s="105">
        <v>38678</v>
      </c>
      <c r="F135" s="106">
        <v>42932</v>
      </c>
      <c r="G135" s="25">
        <v>3</v>
      </c>
      <c r="H135" t="s">
        <v>18</v>
      </c>
      <c r="I135" t="s">
        <v>257</v>
      </c>
    </row>
    <row r="136" spans="1:9">
      <c r="A136" t="s">
        <v>258</v>
      </c>
      <c r="B136" t="s">
        <v>40</v>
      </c>
      <c r="C136" t="s">
        <v>16</v>
      </c>
      <c r="D136" t="s">
        <v>17</v>
      </c>
      <c r="E136" s="105">
        <v>45758</v>
      </c>
      <c r="F136" s="106">
        <v>42939</v>
      </c>
      <c r="G136" s="25">
        <v>3</v>
      </c>
      <c r="H136" t="s">
        <v>12</v>
      </c>
      <c r="I136" t="s">
        <v>224</v>
      </c>
    </row>
    <row r="137" spans="1:9">
      <c r="A137" t="s">
        <v>259</v>
      </c>
      <c r="B137" t="s">
        <v>15</v>
      </c>
      <c r="C137" t="s">
        <v>41</v>
      </c>
      <c r="D137" t="s">
        <v>34</v>
      </c>
      <c r="E137" s="105">
        <v>62476</v>
      </c>
      <c r="F137" s="106">
        <v>42946</v>
      </c>
      <c r="G137" s="25">
        <v>1</v>
      </c>
      <c r="H137" t="s">
        <v>18</v>
      </c>
      <c r="I137" t="s">
        <v>137</v>
      </c>
    </row>
    <row r="138" spans="1:9">
      <c r="A138" t="s">
        <v>260</v>
      </c>
      <c r="B138" t="s">
        <v>12</v>
      </c>
      <c r="C138" t="s">
        <v>33</v>
      </c>
      <c r="D138" t="s">
        <v>46</v>
      </c>
      <c r="E138" s="105">
        <v>39280</v>
      </c>
      <c r="F138" s="106">
        <v>42953</v>
      </c>
      <c r="G138" s="25">
        <v>3</v>
      </c>
      <c r="H138" t="s">
        <v>35</v>
      </c>
      <c r="I138" t="s">
        <v>98</v>
      </c>
    </row>
    <row r="139" spans="1:9">
      <c r="A139" t="s">
        <v>261</v>
      </c>
      <c r="B139" t="s">
        <v>30</v>
      </c>
      <c r="C139" t="s">
        <v>10</v>
      </c>
      <c r="D139" t="s">
        <v>34</v>
      </c>
      <c r="E139" s="105">
        <v>60335</v>
      </c>
      <c r="F139" s="106">
        <v>42960</v>
      </c>
      <c r="G139" s="25">
        <v>4</v>
      </c>
      <c r="H139" t="s">
        <v>18</v>
      </c>
      <c r="I139" t="s">
        <v>128</v>
      </c>
    </row>
    <row r="140" spans="1:9">
      <c r="A140" t="s">
        <v>262</v>
      </c>
      <c r="B140" t="s">
        <v>40</v>
      </c>
      <c r="C140" t="s">
        <v>16</v>
      </c>
      <c r="D140" t="s">
        <v>17</v>
      </c>
      <c r="E140" s="105">
        <v>84968</v>
      </c>
      <c r="F140" s="106">
        <v>42967</v>
      </c>
      <c r="G140" s="25">
        <v>2.8719999999999999</v>
      </c>
      <c r="H140" t="s">
        <v>12</v>
      </c>
      <c r="I140" t="s">
        <v>263</v>
      </c>
    </row>
    <row r="141" spans="1:9">
      <c r="A141" t="s">
        <v>264</v>
      </c>
      <c r="B141" t="s">
        <v>40</v>
      </c>
      <c r="C141" t="s">
        <v>41</v>
      </c>
      <c r="D141" t="s">
        <v>63</v>
      </c>
      <c r="E141" s="105">
        <v>84750</v>
      </c>
      <c r="F141" s="106">
        <v>42974</v>
      </c>
      <c r="G141" s="25">
        <v>4</v>
      </c>
      <c r="H141" t="s">
        <v>35</v>
      </c>
      <c r="I141" t="s">
        <v>59</v>
      </c>
    </row>
    <row r="142" spans="1:9">
      <c r="A142" t="s">
        <v>265</v>
      </c>
      <c r="B142" t="s">
        <v>53</v>
      </c>
      <c r="C142" t="s">
        <v>33</v>
      </c>
      <c r="D142" t="s">
        <v>12</v>
      </c>
      <c r="E142" s="105">
        <v>73348</v>
      </c>
      <c r="F142" s="106">
        <v>42981</v>
      </c>
      <c r="G142" s="25">
        <v>2</v>
      </c>
      <c r="H142" t="s">
        <v>12</v>
      </c>
      <c r="I142" t="s">
        <v>170</v>
      </c>
    </row>
    <row r="143" spans="1:9">
      <c r="A143" t="s">
        <v>266</v>
      </c>
      <c r="B143" t="s">
        <v>40</v>
      </c>
      <c r="C143" t="s">
        <v>25</v>
      </c>
      <c r="D143" t="s">
        <v>26</v>
      </c>
      <c r="E143" s="105">
        <v>62745.946666666663</v>
      </c>
      <c r="F143" s="106">
        <v>42988</v>
      </c>
      <c r="G143" s="25">
        <v>4</v>
      </c>
      <c r="H143" t="s">
        <v>18</v>
      </c>
      <c r="I143" t="s">
        <v>12</v>
      </c>
    </row>
    <row r="144" spans="1:9">
      <c r="A144" t="s">
        <v>267</v>
      </c>
      <c r="B144" t="s">
        <v>30</v>
      </c>
      <c r="C144" t="s">
        <v>41</v>
      </c>
      <c r="D144" t="s">
        <v>26</v>
      </c>
      <c r="E144" s="105">
        <v>66882</v>
      </c>
      <c r="F144" s="106">
        <v>42995</v>
      </c>
      <c r="G144" s="25">
        <v>5</v>
      </c>
      <c r="H144" t="s">
        <v>18</v>
      </c>
      <c r="I144" t="s">
        <v>84</v>
      </c>
    </row>
    <row r="145" spans="1:9">
      <c r="A145" t="s">
        <v>268</v>
      </c>
      <c r="B145" t="s">
        <v>21</v>
      </c>
      <c r="C145" t="s">
        <v>41</v>
      </c>
      <c r="D145" t="s">
        <v>12</v>
      </c>
      <c r="E145" s="105">
        <v>86775</v>
      </c>
      <c r="F145" s="106">
        <v>43002</v>
      </c>
      <c r="G145" s="25">
        <v>3</v>
      </c>
      <c r="H145" t="s">
        <v>18</v>
      </c>
      <c r="I145" t="s">
        <v>94</v>
      </c>
    </row>
    <row r="146" spans="1:9">
      <c r="A146" t="s">
        <v>269</v>
      </c>
      <c r="B146" t="s">
        <v>40</v>
      </c>
      <c r="C146" t="s">
        <v>25</v>
      </c>
      <c r="D146" t="s">
        <v>46</v>
      </c>
      <c r="E146" s="105">
        <v>91620</v>
      </c>
      <c r="F146" s="106">
        <v>43009</v>
      </c>
      <c r="G146" s="25">
        <v>2.8719999999999999</v>
      </c>
      <c r="H146" t="s">
        <v>12</v>
      </c>
      <c r="I146" t="s">
        <v>270</v>
      </c>
    </row>
    <row r="147" spans="1:9">
      <c r="A147" t="s">
        <v>271</v>
      </c>
      <c r="B147" t="s">
        <v>15</v>
      </c>
      <c r="C147" t="s">
        <v>12</v>
      </c>
      <c r="D147" t="s">
        <v>12</v>
      </c>
      <c r="E147" s="105">
        <v>94148</v>
      </c>
      <c r="F147" s="106">
        <v>43016</v>
      </c>
      <c r="G147" s="25">
        <v>2</v>
      </c>
      <c r="H147" t="s">
        <v>12</v>
      </c>
      <c r="I147" t="s">
        <v>272</v>
      </c>
    </row>
    <row r="148" spans="1:9">
      <c r="A148" t="s">
        <v>273</v>
      </c>
      <c r="B148" t="s">
        <v>38</v>
      </c>
      <c r="C148" t="s">
        <v>25</v>
      </c>
      <c r="D148" t="s">
        <v>63</v>
      </c>
      <c r="E148" s="105">
        <v>35627</v>
      </c>
      <c r="F148" s="106">
        <v>43023</v>
      </c>
      <c r="G148" s="25">
        <v>5</v>
      </c>
      <c r="H148" t="s">
        <v>35</v>
      </c>
      <c r="I148" t="s">
        <v>257</v>
      </c>
    </row>
    <row r="149" spans="1:9">
      <c r="A149" t="s">
        <v>274</v>
      </c>
      <c r="B149" t="s">
        <v>24</v>
      </c>
      <c r="C149" t="s">
        <v>41</v>
      </c>
      <c r="D149" t="s">
        <v>26</v>
      </c>
      <c r="E149" s="105">
        <v>57141</v>
      </c>
      <c r="F149" s="106">
        <v>43030</v>
      </c>
      <c r="G149" s="25">
        <v>2</v>
      </c>
      <c r="H149" t="s">
        <v>12</v>
      </c>
      <c r="I149" t="s">
        <v>263</v>
      </c>
    </row>
    <row r="150" spans="1:9">
      <c r="A150" t="s">
        <v>275</v>
      </c>
      <c r="B150" t="s">
        <v>53</v>
      </c>
      <c r="C150" t="s">
        <v>25</v>
      </c>
      <c r="D150" t="s">
        <v>63</v>
      </c>
      <c r="E150" s="105">
        <v>65270</v>
      </c>
      <c r="F150" s="106">
        <v>43037</v>
      </c>
      <c r="G150" s="25">
        <v>1</v>
      </c>
      <c r="H150" t="s">
        <v>12</v>
      </c>
      <c r="I150" t="s">
        <v>276</v>
      </c>
    </row>
    <row r="151" spans="1:9">
      <c r="A151" t="s">
        <v>277</v>
      </c>
      <c r="B151" t="s">
        <v>53</v>
      </c>
      <c r="C151" t="s">
        <v>12</v>
      </c>
      <c r="D151" t="s">
        <v>46</v>
      </c>
      <c r="E151" s="105">
        <v>67335</v>
      </c>
      <c r="F151" s="106">
        <v>43044</v>
      </c>
      <c r="G151" s="25">
        <v>1</v>
      </c>
      <c r="H151" t="s">
        <v>18</v>
      </c>
      <c r="I151" t="s">
        <v>143</v>
      </c>
    </row>
    <row r="152" spans="1:9">
      <c r="A152" t="s">
        <v>278</v>
      </c>
      <c r="B152" t="s">
        <v>38</v>
      </c>
      <c r="C152" t="s">
        <v>41</v>
      </c>
      <c r="D152" t="s">
        <v>34</v>
      </c>
      <c r="E152" s="105">
        <v>98475</v>
      </c>
      <c r="F152" s="106">
        <v>43051</v>
      </c>
      <c r="G152" s="25">
        <v>5</v>
      </c>
      <c r="H152" t="s">
        <v>18</v>
      </c>
      <c r="I152" t="s">
        <v>279</v>
      </c>
    </row>
  </sheetData>
  <mergeCells count="1">
    <mergeCell ref="A1:I1"/>
  </mergeCell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5886D-D54F-4CC1-AF45-4F66A71DBE58}">
  <dimension ref="A1:Q152"/>
  <sheetViews>
    <sheetView topLeftCell="A128" workbookViewId="0">
      <selection activeCell="L142" sqref="L142"/>
    </sheetView>
  </sheetViews>
  <sheetFormatPr defaultRowHeight="14.4"/>
  <cols>
    <col min="1" max="1" width="10.77734375" customWidth="1"/>
    <col min="2" max="2" width="13.6640625" customWidth="1"/>
    <col min="3" max="3" width="13" customWidth="1"/>
    <col min="4" max="4" width="12" customWidth="1"/>
    <col min="5" max="5" width="10.6640625" customWidth="1"/>
    <col min="6" max="6" width="15.21875" customWidth="1"/>
    <col min="8" max="8" width="12.33203125" customWidth="1"/>
    <col min="9" max="9" width="25.77734375" customWidth="1"/>
    <col min="10" max="10" width="12.6640625" customWidth="1"/>
  </cols>
  <sheetData>
    <row r="1" spans="1:17" ht="21">
      <c r="A1" s="192" t="s">
        <v>341</v>
      </c>
      <c r="B1" s="192"/>
      <c r="C1" s="192"/>
      <c r="D1" s="192"/>
      <c r="E1" s="192"/>
      <c r="F1" s="192"/>
      <c r="G1" s="192"/>
      <c r="H1" s="192"/>
      <c r="I1" s="192"/>
      <c r="J1" s="192"/>
      <c r="K1" s="192"/>
      <c r="L1" s="192"/>
      <c r="M1" s="192"/>
      <c r="N1" s="192"/>
      <c r="O1" s="192"/>
      <c r="P1" s="192"/>
      <c r="Q1" s="192"/>
    </row>
    <row r="2" spans="1:17" ht="15" thickBot="1">
      <c r="A2" s="45" t="s">
        <v>0</v>
      </c>
      <c r="B2" s="46" t="s">
        <v>1</v>
      </c>
      <c r="C2" s="46" t="s">
        <v>2</v>
      </c>
      <c r="D2" s="46" t="s">
        <v>3</v>
      </c>
      <c r="E2" s="47" t="s">
        <v>4</v>
      </c>
      <c r="F2" s="48" t="s">
        <v>5</v>
      </c>
      <c r="G2" s="49" t="s">
        <v>6</v>
      </c>
      <c r="H2" s="46" t="s">
        <v>7</v>
      </c>
      <c r="I2" s="50" t="s">
        <v>8</v>
      </c>
      <c r="J2" s="78" t="s">
        <v>287</v>
      </c>
    </row>
    <row r="3" spans="1:17">
      <c r="A3" s="52" t="s">
        <v>9</v>
      </c>
      <c r="B3" s="53" t="s">
        <v>12</v>
      </c>
      <c r="C3" s="53" t="s">
        <v>10</v>
      </c>
      <c r="D3" s="53" t="s">
        <v>12</v>
      </c>
      <c r="E3" s="54">
        <v>66280.929577464805</v>
      </c>
      <c r="F3" s="55" t="s">
        <v>12</v>
      </c>
      <c r="G3" s="56">
        <v>2</v>
      </c>
      <c r="H3" s="57" t="s">
        <v>12</v>
      </c>
      <c r="I3" s="58" t="s">
        <v>12</v>
      </c>
      <c r="J3" s="72" t="str">
        <f>IF(E3&gt;80000,"High Salary", "Normal")</f>
        <v>Normal</v>
      </c>
    </row>
    <row r="4" spans="1:17">
      <c r="A4" s="52" t="s">
        <v>14</v>
      </c>
      <c r="B4" s="53" t="s">
        <v>15</v>
      </c>
      <c r="C4" s="53" t="s">
        <v>16</v>
      </c>
      <c r="D4" s="53" t="s">
        <v>17</v>
      </c>
      <c r="E4" s="54">
        <v>54255</v>
      </c>
      <c r="F4" s="55">
        <v>42015</v>
      </c>
      <c r="G4" s="56">
        <v>1</v>
      </c>
      <c r="H4" s="57" t="s">
        <v>18</v>
      </c>
      <c r="I4" s="58" t="s">
        <v>19</v>
      </c>
      <c r="J4" s="72" t="str">
        <f t="shared" ref="J4:J67" si="0">IF(E4&gt;80000,"High Salary", "Normal")</f>
        <v>Normal</v>
      </c>
    </row>
    <row r="5" spans="1:17">
      <c r="A5" s="52" t="s">
        <v>20</v>
      </c>
      <c r="B5" s="53" t="s">
        <v>21</v>
      </c>
      <c r="C5" s="53" t="s">
        <v>10</v>
      </c>
      <c r="D5" s="53" t="s">
        <v>17</v>
      </c>
      <c r="E5" s="54">
        <v>63184</v>
      </c>
      <c r="F5" s="55">
        <v>42022</v>
      </c>
      <c r="G5" s="56">
        <v>2</v>
      </c>
      <c r="H5" s="57" t="s">
        <v>12</v>
      </c>
      <c r="I5" s="58" t="s">
        <v>22</v>
      </c>
      <c r="J5" s="72" t="str">
        <f t="shared" si="0"/>
        <v>Normal</v>
      </c>
    </row>
    <row r="6" spans="1:17">
      <c r="A6" s="52" t="s">
        <v>23</v>
      </c>
      <c r="B6" s="53" t="s">
        <v>24</v>
      </c>
      <c r="C6" s="53" t="s">
        <v>25</v>
      </c>
      <c r="D6" s="53" t="s">
        <v>26</v>
      </c>
      <c r="E6" s="54">
        <v>94406</v>
      </c>
      <c r="F6" s="55">
        <v>42029</v>
      </c>
      <c r="G6" s="56">
        <v>1</v>
      </c>
      <c r="H6" s="57" t="s">
        <v>27</v>
      </c>
      <c r="I6" s="58" t="s">
        <v>28</v>
      </c>
      <c r="J6" s="72" t="str">
        <f t="shared" si="0"/>
        <v>High Salary</v>
      </c>
    </row>
    <row r="7" spans="1:17">
      <c r="A7" s="52" t="s">
        <v>29</v>
      </c>
      <c r="B7" s="53" t="s">
        <v>30</v>
      </c>
      <c r="C7" s="53" t="s">
        <v>25</v>
      </c>
      <c r="D7" s="53" t="s">
        <v>17</v>
      </c>
      <c r="E7" s="54">
        <v>64120</v>
      </c>
      <c r="F7" s="55">
        <v>42036</v>
      </c>
      <c r="G7" s="56">
        <v>1</v>
      </c>
      <c r="H7" s="57" t="s">
        <v>27</v>
      </c>
      <c r="I7" s="58" t="s">
        <v>31</v>
      </c>
      <c r="J7" s="72" t="str">
        <f t="shared" si="0"/>
        <v>Normal</v>
      </c>
    </row>
    <row r="8" spans="1:17">
      <c r="A8" s="52" t="s">
        <v>32</v>
      </c>
      <c r="B8" s="53" t="s">
        <v>21</v>
      </c>
      <c r="C8" s="53" t="s">
        <v>33</v>
      </c>
      <c r="D8" s="53" t="s">
        <v>34</v>
      </c>
      <c r="E8" s="54">
        <v>78421</v>
      </c>
      <c r="F8" s="55">
        <v>42043</v>
      </c>
      <c r="G8" s="56">
        <v>2</v>
      </c>
      <c r="H8" s="57" t="s">
        <v>35</v>
      </c>
      <c r="I8" s="58" t="s">
        <v>36</v>
      </c>
      <c r="J8" s="72" t="str">
        <f t="shared" si="0"/>
        <v>Normal</v>
      </c>
    </row>
    <row r="9" spans="1:17">
      <c r="A9" s="52" t="s">
        <v>37</v>
      </c>
      <c r="B9" s="53" t="s">
        <v>38</v>
      </c>
      <c r="C9" s="53" t="s">
        <v>25</v>
      </c>
      <c r="D9" s="53" t="s">
        <v>12</v>
      </c>
      <c r="E9" s="54">
        <v>67721</v>
      </c>
      <c r="F9" s="55">
        <v>42050</v>
      </c>
      <c r="G9" s="56">
        <v>2.9411764705882355</v>
      </c>
      <c r="H9" s="57" t="s">
        <v>27</v>
      </c>
      <c r="I9" s="58" t="s">
        <v>28</v>
      </c>
      <c r="J9" s="72" t="str">
        <f t="shared" si="0"/>
        <v>Normal</v>
      </c>
    </row>
    <row r="10" spans="1:17">
      <c r="A10" s="52" t="s">
        <v>39</v>
      </c>
      <c r="B10" s="53" t="s">
        <v>40</v>
      </c>
      <c r="C10" s="67" t="s">
        <v>41</v>
      </c>
      <c r="D10" s="53" t="s">
        <v>12</v>
      </c>
      <c r="E10" s="54">
        <v>35364</v>
      </c>
      <c r="F10" s="55">
        <v>42057</v>
      </c>
      <c r="G10" s="56">
        <v>2</v>
      </c>
      <c r="H10" s="57" t="s">
        <v>18</v>
      </c>
      <c r="I10" s="58" t="s">
        <v>42</v>
      </c>
      <c r="J10" s="72" t="str">
        <f t="shared" si="0"/>
        <v>Normal</v>
      </c>
    </row>
    <row r="11" spans="1:17">
      <c r="A11" s="52" t="s">
        <v>43</v>
      </c>
      <c r="B11" s="53" t="s">
        <v>21</v>
      </c>
      <c r="C11" s="53" t="s">
        <v>33</v>
      </c>
      <c r="D11" s="53" t="s">
        <v>17</v>
      </c>
      <c r="E11" s="54">
        <v>97881</v>
      </c>
      <c r="F11" s="55">
        <v>42064</v>
      </c>
      <c r="G11" s="56">
        <v>2.9491525423728815</v>
      </c>
      <c r="H11" s="57" t="s">
        <v>35</v>
      </c>
      <c r="I11" s="58" t="s">
        <v>44</v>
      </c>
      <c r="J11" s="72" t="str">
        <f t="shared" si="0"/>
        <v>High Salary</v>
      </c>
    </row>
    <row r="12" spans="1:17">
      <c r="A12" s="52" t="s">
        <v>45</v>
      </c>
      <c r="B12" s="53" t="s">
        <v>40</v>
      </c>
      <c r="C12" s="53" t="s">
        <v>16</v>
      </c>
      <c r="D12" s="53" t="s">
        <v>46</v>
      </c>
      <c r="E12" s="54">
        <v>91846</v>
      </c>
      <c r="F12" s="55">
        <v>42071</v>
      </c>
      <c r="G12" s="56">
        <v>2.9491525423728815</v>
      </c>
      <c r="H12" s="57" t="s">
        <v>27</v>
      </c>
      <c r="I12" s="58" t="s">
        <v>47</v>
      </c>
      <c r="J12" s="72" t="str">
        <f t="shared" si="0"/>
        <v>High Salary</v>
      </c>
    </row>
    <row r="13" spans="1:17">
      <c r="A13" s="52" t="s">
        <v>48</v>
      </c>
      <c r="B13" s="53" t="s">
        <v>38</v>
      </c>
      <c r="C13" s="53" t="s">
        <v>10</v>
      </c>
      <c r="D13" s="53" t="s">
        <v>46</v>
      </c>
      <c r="E13" s="54">
        <v>64247</v>
      </c>
      <c r="F13" s="55">
        <v>42078</v>
      </c>
      <c r="G13" s="56">
        <v>1</v>
      </c>
      <c r="H13" s="57" t="s">
        <v>35</v>
      </c>
      <c r="I13" s="58" t="s">
        <v>49</v>
      </c>
      <c r="J13" s="72" t="str">
        <f t="shared" si="0"/>
        <v>Normal</v>
      </c>
    </row>
    <row r="14" spans="1:17">
      <c r="A14" s="52" t="s">
        <v>50</v>
      </c>
      <c r="B14" s="53" t="s">
        <v>38</v>
      </c>
      <c r="C14" s="53" t="s">
        <v>33</v>
      </c>
      <c r="D14" s="53" t="s">
        <v>26</v>
      </c>
      <c r="E14" s="54">
        <v>91180</v>
      </c>
      <c r="F14" s="55">
        <v>42085</v>
      </c>
      <c r="G14" s="56">
        <v>5</v>
      </c>
      <c r="H14" s="57" t="s">
        <v>27</v>
      </c>
      <c r="I14" s="58" t="s">
        <v>51</v>
      </c>
      <c r="J14" s="72" t="str">
        <f t="shared" si="0"/>
        <v>High Salary</v>
      </c>
    </row>
    <row r="15" spans="1:17">
      <c r="A15" s="52" t="s">
        <v>52</v>
      </c>
      <c r="B15" s="53" t="s">
        <v>53</v>
      </c>
      <c r="C15" s="53" t="s">
        <v>25</v>
      </c>
      <c r="D15" s="53" t="s">
        <v>12</v>
      </c>
      <c r="E15" s="54">
        <v>96418</v>
      </c>
      <c r="F15" s="55">
        <v>42092</v>
      </c>
      <c r="G15" s="56">
        <v>5</v>
      </c>
      <c r="H15" s="57" t="s">
        <v>27</v>
      </c>
      <c r="I15" s="58" t="s">
        <v>19</v>
      </c>
      <c r="J15" s="72" t="str">
        <f t="shared" si="0"/>
        <v>High Salary</v>
      </c>
    </row>
    <row r="16" spans="1:17">
      <c r="A16" s="52" t="s">
        <v>54</v>
      </c>
      <c r="B16" s="67" t="s">
        <v>38</v>
      </c>
      <c r="C16" s="53" t="s">
        <v>12</v>
      </c>
      <c r="D16" s="53" t="s">
        <v>34</v>
      </c>
      <c r="E16" s="54">
        <v>62158</v>
      </c>
      <c r="F16" s="55">
        <v>42099</v>
      </c>
      <c r="G16" s="56">
        <v>4</v>
      </c>
      <c r="H16" s="57" t="s">
        <v>12</v>
      </c>
      <c r="I16" s="58" t="s">
        <v>55</v>
      </c>
      <c r="J16" s="72" t="str">
        <f t="shared" si="0"/>
        <v>Normal</v>
      </c>
    </row>
    <row r="17" spans="1:10">
      <c r="A17" s="52" t="s">
        <v>56</v>
      </c>
      <c r="B17" s="53" t="s">
        <v>30</v>
      </c>
      <c r="C17" s="53" t="s">
        <v>16</v>
      </c>
      <c r="D17" s="53" t="s">
        <v>12</v>
      </c>
      <c r="E17" s="54">
        <v>59894</v>
      </c>
      <c r="F17" s="55">
        <v>42106</v>
      </c>
      <c r="G17" s="56">
        <v>2</v>
      </c>
      <c r="H17" s="57" t="s">
        <v>27</v>
      </c>
      <c r="I17" s="58" t="s">
        <v>57</v>
      </c>
      <c r="J17" s="72" t="str">
        <f t="shared" si="0"/>
        <v>Normal</v>
      </c>
    </row>
    <row r="18" spans="1:10">
      <c r="A18" s="52" t="s">
        <v>58</v>
      </c>
      <c r="B18" s="53" t="s">
        <v>12</v>
      </c>
      <c r="C18" s="53" t="s">
        <v>33</v>
      </c>
      <c r="D18" s="53" t="s">
        <v>34</v>
      </c>
      <c r="E18" s="54">
        <v>92443</v>
      </c>
      <c r="F18" s="55">
        <v>42113</v>
      </c>
      <c r="G18" s="56">
        <v>3</v>
      </c>
      <c r="H18" s="57" t="s">
        <v>18</v>
      </c>
      <c r="I18" s="58" t="s">
        <v>59</v>
      </c>
      <c r="J18" s="72" t="str">
        <f t="shared" si="0"/>
        <v>High Salary</v>
      </c>
    </row>
    <row r="19" spans="1:10">
      <c r="A19" s="52" t="s">
        <v>60</v>
      </c>
      <c r="B19" s="67" t="s">
        <v>53</v>
      </c>
      <c r="C19" s="53" t="s">
        <v>12</v>
      </c>
      <c r="D19" s="53" t="s">
        <v>17</v>
      </c>
      <c r="E19" s="54">
        <v>90271</v>
      </c>
      <c r="F19" s="55">
        <v>42120</v>
      </c>
      <c r="G19" s="56">
        <v>2.9285714285714284</v>
      </c>
      <c r="H19" s="57" t="s">
        <v>12</v>
      </c>
      <c r="I19" s="58" t="s">
        <v>61</v>
      </c>
      <c r="J19" s="72" t="str">
        <f t="shared" si="0"/>
        <v>High Salary</v>
      </c>
    </row>
    <row r="20" spans="1:10">
      <c r="A20" s="52" t="s">
        <v>62</v>
      </c>
      <c r="B20" s="53" t="s">
        <v>30</v>
      </c>
      <c r="C20" s="53" t="s">
        <v>10</v>
      </c>
      <c r="D20" s="53" t="s">
        <v>63</v>
      </c>
      <c r="E20" s="54">
        <v>41341</v>
      </c>
      <c r="F20" s="55">
        <v>42127</v>
      </c>
      <c r="G20" s="56">
        <v>1</v>
      </c>
      <c r="H20" s="57" t="s">
        <v>18</v>
      </c>
      <c r="I20" s="58" t="s">
        <v>64</v>
      </c>
      <c r="J20" s="72" t="str">
        <f t="shared" si="0"/>
        <v>Normal</v>
      </c>
    </row>
    <row r="21" spans="1:10">
      <c r="A21" s="52" t="s">
        <v>65</v>
      </c>
      <c r="B21" s="53" t="s">
        <v>21</v>
      </c>
      <c r="C21" s="53" t="s">
        <v>10</v>
      </c>
      <c r="D21" s="53" t="s">
        <v>46</v>
      </c>
      <c r="E21" s="54">
        <v>73602</v>
      </c>
      <c r="F21" s="55">
        <v>42134</v>
      </c>
      <c r="G21" s="56">
        <v>2.9459459459459461</v>
      </c>
      <c r="H21" s="57" t="s">
        <v>12</v>
      </c>
      <c r="I21" s="58" t="s">
        <v>66</v>
      </c>
      <c r="J21" s="72" t="str">
        <f t="shared" si="0"/>
        <v>Normal</v>
      </c>
    </row>
    <row r="22" spans="1:10">
      <c r="A22" s="52" t="s">
        <v>67</v>
      </c>
      <c r="B22" s="67" t="s">
        <v>15</v>
      </c>
      <c r="C22" s="53" t="s">
        <v>12</v>
      </c>
      <c r="D22" s="53" t="s">
        <v>34</v>
      </c>
      <c r="E22" s="54">
        <v>67531</v>
      </c>
      <c r="F22" s="55">
        <v>42141</v>
      </c>
      <c r="G22" s="56">
        <v>5</v>
      </c>
      <c r="H22" s="57" t="s">
        <v>35</v>
      </c>
      <c r="I22" s="58" t="s">
        <v>68</v>
      </c>
      <c r="J22" s="72" t="str">
        <f t="shared" si="0"/>
        <v>Normal</v>
      </c>
    </row>
    <row r="23" spans="1:10">
      <c r="A23" s="52" t="s">
        <v>69</v>
      </c>
      <c r="B23" s="53" t="s">
        <v>30</v>
      </c>
      <c r="C23" s="53" t="s">
        <v>16</v>
      </c>
      <c r="D23" s="53" t="s">
        <v>26</v>
      </c>
      <c r="E23" s="54">
        <v>65248.853658536587</v>
      </c>
      <c r="F23" s="55">
        <v>42148</v>
      </c>
      <c r="G23" s="56">
        <v>2</v>
      </c>
      <c r="H23" s="57" t="s">
        <v>18</v>
      </c>
      <c r="I23" s="58" t="s">
        <v>70</v>
      </c>
      <c r="J23" s="72" t="str">
        <f t="shared" si="0"/>
        <v>Normal</v>
      </c>
    </row>
    <row r="24" spans="1:10">
      <c r="A24" s="52" t="s">
        <v>71</v>
      </c>
      <c r="B24" s="53" t="s">
        <v>30</v>
      </c>
      <c r="C24" s="53" t="s">
        <v>16</v>
      </c>
      <c r="D24" s="53" t="s">
        <v>12</v>
      </c>
      <c r="E24" s="54">
        <v>98922</v>
      </c>
      <c r="F24" s="55">
        <v>42155</v>
      </c>
      <c r="G24" s="56">
        <v>4</v>
      </c>
      <c r="H24" s="57" t="s">
        <v>12</v>
      </c>
      <c r="I24" s="58" t="s">
        <v>72</v>
      </c>
      <c r="J24" s="72" t="str">
        <f t="shared" si="0"/>
        <v>High Salary</v>
      </c>
    </row>
    <row r="25" spans="1:10">
      <c r="A25" s="52" t="s">
        <v>73</v>
      </c>
      <c r="B25" s="53" t="s">
        <v>15</v>
      </c>
      <c r="C25" s="53" t="s">
        <v>10</v>
      </c>
      <c r="D25" s="53" t="s">
        <v>34</v>
      </c>
      <c r="E25" s="54">
        <v>38333</v>
      </c>
      <c r="F25" s="55">
        <v>42162</v>
      </c>
      <c r="G25" s="56">
        <v>5</v>
      </c>
      <c r="H25" s="57" t="s">
        <v>12</v>
      </c>
      <c r="I25" s="58" t="s">
        <v>74</v>
      </c>
      <c r="J25" s="72" t="str">
        <f t="shared" si="0"/>
        <v>Normal</v>
      </c>
    </row>
    <row r="26" spans="1:10">
      <c r="A26" s="52" t="s">
        <v>75</v>
      </c>
      <c r="B26" s="53" t="s">
        <v>21</v>
      </c>
      <c r="C26" s="53" t="s">
        <v>41</v>
      </c>
      <c r="D26" s="53" t="s">
        <v>46</v>
      </c>
      <c r="E26" s="54">
        <v>36515</v>
      </c>
      <c r="F26" s="55">
        <v>42169</v>
      </c>
      <c r="G26" s="56">
        <v>3</v>
      </c>
      <c r="H26" s="57" t="s">
        <v>27</v>
      </c>
      <c r="I26" s="58" t="s">
        <v>76</v>
      </c>
      <c r="J26" s="72" t="str">
        <f t="shared" si="0"/>
        <v>Normal</v>
      </c>
    </row>
    <row r="27" spans="1:10">
      <c r="A27" s="52" t="s">
        <v>77</v>
      </c>
      <c r="B27" s="53" t="s">
        <v>38</v>
      </c>
      <c r="C27" s="53" t="s">
        <v>10</v>
      </c>
      <c r="D27" s="53" t="s">
        <v>12</v>
      </c>
      <c r="E27" s="54">
        <v>91005</v>
      </c>
      <c r="F27" s="55">
        <v>42176</v>
      </c>
      <c r="G27" s="56">
        <v>1</v>
      </c>
      <c r="H27" s="57" t="s">
        <v>18</v>
      </c>
      <c r="I27" s="58" t="s">
        <v>78</v>
      </c>
      <c r="J27" s="72" t="str">
        <f t="shared" si="0"/>
        <v>High Salary</v>
      </c>
    </row>
    <row r="28" spans="1:10">
      <c r="A28" s="52" t="s">
        <v>79</v>
      </c>
      <c r="B28" s="53" t="s">
        <v>40</v>
      </c>
      <c r="C28" s="53" t="s">
        <v>12</v>
      </c>
      <c r="D28" s="53" t="s">
        <v>12</v>
      </c>
      <c r="E28" s="54">
        <v>52272</v>
      </c>
      <c r="F28" s="55">
        <v>42183</v>
      </c>
      <c r="G28" s="56">
        <v>3</v>
      </c>
      <c r="H28" s="57" t="s">
        <v>12</v>
      </c>
      <c r="I28" s="58" t="s">
        <v>80</v>
      </c>
      <c r="J28" s="72" t="str">
        <f t="shared" si="0"/>
        <v>Normal</v>
      </c>
    </row>
    <row r="29" spans="1:10">
      <c r="A29" s="52" t="s">
        <v>81</v>
      </c>
      <c r="B29" s="53" t="s">
        <v>15</v>
      </c>
      <c r="C29" s="53" t="s">
        <v>25</v>
      </c>
      <c r="D29" s="53" t="s">
        <v>17</v>
      </c>
      <c r="E29" s="54">
        <v>76518</v>
      </c>
      <c r="F29" s="55">
        <v>42190</v>
      </c>
      <c r="G29" s="56">
        <v>2</v>
      </c>
      <c r="H29" s="57" t="s">
        <v>35</v>
      </c>
      <c r="I29" s="58" t="s">
        <v>82</v>
      </c>
      <c r="J29" s="72" t="str">
        <f t="shared" si="0"/>
        <v>Normal</v>
      </c>
    </row>
    <row r="30" spans="1:10">
      <c r="A30" s="52" t="s">
        <v>83</v>
      </c>
      <c r="B30" s="53" t="s">
        <v>21</v>
      </c>
      <c r="C30" s="53" t="s">
        <v>33</v>
      </c>
      <c r="D30" s="53" t="s">
        <v>46</v>
      </c>
      <c r="E30" s="54">
        <v>41448</v>
      </c>
      <c r="F30" s="55">
        <v>42197</v>
      </c>
      <c r="G30" s="56">
        <v>3</v>
      </c>
      <c r="H30" s="57" t="s">
        <v>18</v>
      </c>
      <c r="I30" s="58" t="s">
        <v>84</v>
      </c>
      <c r="J30" s="72" t="str">
        <f t="shared" si="0"/>
        <v>Normal</v>
      </c>
    </row>
    <row r="31" spans="1:10">
      <c r="A31" s="52" t="s">
        <v>85</v>
      </c>
      <c r="B31" s="53" t="s">
        <v>24</v>
      </c>
      <c r="C31" s="53" t="s">
        <v>16</v>
      </c>
      <c r="D31" s="53" t="s">
        <v>46</v>
      </c>
      <c r="E31" s="54">
        <v>49282</v>
      </c>
      <c r="F31" s="55">
        <v>42204</v>
      </c>
      <c r="G31" s="56">
        <v>2</v>
      </c>
      <c r="H31" s="57" t="s">
        <v>35</v>
      </c>
      <c r="I31" s="58" t="s">
        <v>86</v>
      </c>
      <c r="J31" s="72" t="str">
        <f t="shared" si="0"/>
        <v>Normal</v>
      </c>
    </row>
    <row r="32" spans="1:10">
      <c r="A32" s="52" t="s">
        <v>87</v>
      </c>
      <c r="B32" s="53" t="s">
        <v>53</v>
      </c>
      <c r="C32" s="53" t="s">
        <v>41</v>
      </c>
      <c r="D32" s="53" t="s">
        <v>46</v>
      </c>
      <c r="E32" s="54">
        <v>92959</v>
      </c>
      <c r="F32" s="55">
        <v>42211</v>
      </c>
      <c r="G32" s="56">
        <v>5</v>
      </c>
      <c r="H32" s="57" t="s">
        <v>12</v>
      </c>
      <c r="I32" s="58" t="s">
        <v>88</v>
      </c>
      <c r="J32" s="72" t="str">
        <f t="shared" si="0"/>
        <v>High Salary</v>
      </c>
    </row>
    <row r="33" spans="1:10">
      <c r="A33" s="52" t="s">
        <v>89</v>
      </c>
      <c r="B33" s="53" t="s">
        <v>12</v>
      </c>
      <c r="C33" s="67" t="s">
        <v>41</v>
      </c>
      <c r="D33" s="53" t="s">
        <v>12</v>
      </c>
      <c r="E33" s="54">
        <v>92259</v>
      </c>
      <c r="F33" s="55" t="s">
        <v>12</v>
      </c>
      <c r="G33" s="56">
        <v>1</v>
      </c>
      <c r="H33" s="57" t="s">
        <v>12</v>
      </c>
      <c r="I33" s="58" t="s">
        <v>90</v>
      </c>
      <c r="J33" s="72" t="str">
        <f t="shared" si="0"/>
        <v>High Salary</v>
      </c>
    </row>
    <row r="34" spans="1:10">
      <c r="A34" s="52" t="s">
        <v>91</v>
      </c>
      <c r="B34" s="53" t="s">
        <v>15</v>
      </c>
      <c r="C34" s="53" t="s">
        <v>16</v>
      </c>
      <c r="D34" s="53" t="s">
        <v>17</v>
      </c>
      <c r="E34" s="54">
        <v>92299</v>
      </c>
      <c r="F34" s="55">
        <v>42225</v>
      </c>
      <c r="G34" s="56">
        <v>3</v>
      </c>
      <c r="H34" s="57" t="s">
        <v>27</v>
      </c>
      <c r="I34" s="58" t="s">
        <v>92</v>
      </c>
      <c r="J34" s="72" t="str">
        <f t="shared" si="0"/>
        <v>High Salary</v>
      </c>
    </row>
    <row r="35" spans="1:10">
      <c r="A35" s="52" t="s">
        <v>93</v>
      </c>
      <c r="B35" s="53" t="s">
        <v>38</v>
      </c>
      <c r="C35" s="53" t="s">
        <v>16</v>
      </c>
      <c r="D35" s="53" t="s">
        <v>12</v>
      </c>
      <c r="E35" s="54">
        <v>95586</v>
      </c>
      <c r="F35" s="55">
        <v>42232</v>
      </c>
      <c r="G35" s="56">
        <v>3</v>
      </c>
      <c r="H35" s="57" t="s">
        <v>18</v>
      </c>
      <c r="I35" s="58" t="s">
        <v>94</v>
      </c>
      <c r="J35" s="72" t="str">
        <f t="shared" si="0"/>
        <v>High Salary</v>
      </c>
    </row>
    <row r="36" spans="1:10">
      <c r="A36" s="52" t="s">
        <v>95</v>
      </c>
      <c r="B36" s="53" t="s">
        <v>40</v>
      </c>
      <c r="C36" s="53" t="s">
        <v>12</v>
      </c>
      <c r="D36" s="53" t="s">
        <v>26</v>
      </c>
      <c r="E36" s="54">
        <v>95367</v>
      </c>
      <c r="F36" s="55">
        <v>42239</v>
      </c>
      <c r="G36" s="56">
        <v>2.9381443298969074</v>
      </c>
      <c r="H36" s="57" t="s">
        <v>27</v>
      </c>
      <c r="I36" s="58" t="s">
        <v>96</v>
      </c>
      <c r="J36" s="72" t="str">
        <f t="shared" si="0"/>
        <v>High Salary</v>
      </c>
    </row>
    <row r="37" spans="1:10">
      <c r="A37" s="52" t="s">
        <v>97</v>
      </c>
      <c r="B37" s="53" t="s">
        <v>24</v>
      </c>
      <c r="C37" s="53" t="s">
        <v>25</v>
      </c>
      <c r="D37" s="53" t="s">
        <v>63</v>
      </c>
      <c r="E37" s="54">
        <v>79549</v>
      </c>
      <c r="F37" s="55">
        <v>42246</v>
      </c>
      <c r="G37" s="56">
        <v>3</v>
      </c>
      <c r="H37" s="57" t="s">
        <v>12</v>
      </c>
      <c r="I37" s="58" t="s">
        <v>98</v>
      </c>
      <c r="J37" s="72" t="str">
        <f t="shared" si="0"/>
        <v>Normal</v>
      </c>
    </row>
    <row r="38" spans="1:10">
      <c r="A38" s="52" t="s">
        <v>99</v>
      </c>
      <c r="B38" s="67" t="s">
        <v>21</v>
      </c>
      <c r="C38" s="53" t="s">
        <v>12</v>
      </c>
      <c r="D38" s="53" t="s">
        <v>46</v>
      </c>
      <c r="E38" s="54">
        <v>54463</v>
      </c>
      <c r="F38" s="55">
        <v>42253</v>
      </c>
      <c r="G38" s="56">
        <v>4</v>
      </c>
      <c r="H38" s="57" t="s">
        <v>27</v>
      </c>
      <c r="I38" s="58" t="s">
        <v>12</v>
      </c>
      <c r="J38" s="72" t="str">
        <f t="shared" si="0"/>
        <v>Normal</v>
      </c>
    </row>
    <row r="39" spans="1:10">
      <c r="A39" s="52" t="s">
        <v>100</v>
      </c>
      <c r="B39" s="53" t="s">
        <v>21</v>
      </c>
      <c r="C39" s="53" t="s">
        <v>33</v>
      </c>
      <c r="D39" s="53" t="s">
        <v>26</v>
      </c>
      <c r="E39" s="54">
        <v>89781</v>
      </c>
      <c r="F39" s="55">
        <v>42260</v>
      </c>
      <c r="G39" s="56">
        <v>2.9263157894736844</v>
      </c>
      <c r="H39" s="57" t="s">
        <v>35</v>
      </c>
      <c r="I39" s="58" t="s">
        <v>101</v>
      </c>
      <c r="J39" s="72" t="str">
        <f t="shared" si="0"/>
        <v>High Salary</v>
      </c>
    </row>
    <row r="40" spans="1:10">
      <c r="A40" s="52" t="s">
        <v>102</v>
      </c>
      <c r="B40" s="53" t="s">
        <v>21</v>
      </c>
      <c r="C40" s="53" t="s">
        <v>16</v>
      </c>
      <c r="D40" s="53" t="s">
        <v>12</v>
      </c>
      <c r="E40" s="54">
        <v>64796</v>
      </c>
      <c r="F40" s="55">
        <v>42267</v>
      </c>
      <c r="G40" s="56">
        <v>2.9263157894736844</v>
      </c>
      <c r="H40" s="57" t="s">
        <v>18</v>
      </c>
      <c r="I40" s="58" t="s">
        <v>103</v>
      </c>
      <c r="J40" s="72" t="str">
        <f t="shared" si="0"/>
        <v>Normal</v>
      </c>
    </row>
    <row r="41" spans="1:10">
      <c r="A41" s="52" t="s">
        <v>104</v>
      </c>
      <c r="B41" s="53" t="s">
        <v>24</v>
      </c>
      <c r="C41" s="53" t="s">
        <v>41</v>
      </c>
      <c r="D41" s="53" t="s">
        <v>46</v>
      </c>
      <c r="E41" s="54">
        <v>52093</v>
      </c>
      <c r="F41" s="55">
        <v>42274</v>
      </c>
      <c r="G41" s="56">
        <v>5</v>
      </c>
      <c r="H41" s="57" t="s">
        <v>12</v>
      </c>
      <c r="I41" s="58" t="s">
        <v>105</v>
      </c>
      <c r="J41" s="72" t="str">
        <f t="shared" si="0"/>
        <v>Normal</v>
      </c>
    </row>
    <row r="42" spans="1:10">
      <c r="A42" s="52" t="s">
        <v>106</v>
      </c>
      <c r="B42" s="53" t="s">
        <v>40</v>
      </c>
      <c r="C42" s="53" t="s">
        <v>16</v>
      </c>
      <c r="D42" s="53" t="s">
        <v>46</v>
      </c>
      <c r="E42" s="54">
        <v>48224</v>
      </c>
      <c r="F42" s="55">
        <v>42281</v>
      </c>
      <c r="G42" s="56">
        <v>3</v>
      </c>
      <c r="H42" s="57" t="s">
        <v>12</v>
      </c>
      <c r="I42" s="58" t="s">
        <v>107</v>
      </c>
      <c r="J42" s="72" t="str">
        <f t="shared" si="0"/>
        <v>Normal</v>
      </c>
    </row>
    <row r="43" spans="1:10">
      <c r="A43" s="52" t="s">
        <v>108</v>
      </c>
      <c r="B43" s="53" t="s">
        <v>53</v>
      </c>
      <c r="C43" s="53" t="s">
        <v>10</v>
      </c>
      <c r="D43" s="53" t="s">
        <v>46</v>
      </c>
      <c r="E43" s="54">
        <v>64268.634615384617</v>
      </c>
      <c r="F43" s="55" t="s">
        <v>12</v>
      </c>
      <c r="G43" s="56">
        <v>4</v>
      </c>
      <c r="H43" s="57" t="s">
        <v>35</v>
      </c>
      <c r="I43" s="58" t="s">
        <v>109</v>
      </c>
      <c r="J43" s="72" t="str">
        <f t="shared" si="0"/>
        <v>Normal</v>
      </c>
    </row>
    <row r="44" spans="1:10">
      <c r="A44" s="52" t="s">
        <v>110</v>
      </c>
      <c r="B44" s="53" t="s">
        <v>21</v>
      </c>
      <c r="C44" s="53" t="s">
        <v>33</v>
      </c>
      <c r="D44" s="53" t="s">
        <v>17</v>
      </c>
      <c r="E44" s="54">
        <v>33956</v>
      </c>
      <c r="F44" s="55">
        <v>42295</v>
      </c>
      <c r="G44" s="56">
        <v>2.8913043478260869</v>
      </c>
      <c r="H44" s="57" t="s">
        <v>12</v>
      </c>
      <c r="I44" s="58" t="s">
        <v>111</v>
      </c>
      <c r="J44" s="72" t="str">
        <f t="shared" si="0"/>
        <v>Normal</v>
      </c>
    </row>
    <row r="45" spans="1:10">
      <c r="A45" s="52" t="s">
        <v>112</v>
      </c>
      <c r="B45" s="67" t="s">
        <v>53</v>
      </c>
      <c r="C45" s="53" t="s">
        <v>12</v>
      </c>
      <c r="D45" s="53" t="s">
        <v>63</v>
      </c>
      <c r="E45" s="54">
        <v>64913</v>
      </c>
      <c r="F45" s="55">
        <v>42302</v>
      </c>
      <c r="G45" s="56">
        <v>1</v>
      </c>
      <c r="H45" s="57" t="s">
        <v>35</v>
      </c>
      <c r="I45" s="58" t="s">
        <v>113</v>
      </c>
      <c r="J45" s="72" t="str">
        <f t="shared" si="0"/>
        <v>Normal</v>
      </c>
    </row>
    <row r="46" spans="1:10">
      <c r="A46" s="52" t="s">
        <v>114</v>
      </c>
      <c r="B46" s="53" t="s">
        <v>21</v>
      </c>
      <c r="C46" s="53" t="s">
        <v>41</v>
      </c>
      <c r="D46" s="53" t="s">
        <v>63</v>
      </c>
      <c r="E46" s="54">
        <v>35326</v>
      </c>
      <c r="F46" s="55">
        <v>42309</v>
      </c>
      <c r="G46" s="56">
        <v>2.912087912087912</v>
      </c>
      <c r="H46" s="57" t="s">
        <v>35</v>
      </c>
      <c r="I46" s="58" t="s">
        <v>115</v>
      </c>
      <c r="J46" s="72" t="str">
        <f t="shared" si="0"/>
        <v>Normal</v>
      </c>
    </row>
    <row r="47" spans="1:10">
      <c r="A47" s="52" t="s">
        <v>116</v>
      </c>
      <c r="B47" s="53" t="s">
        <v>40</v>
      </c>
      <c r="C47" s="53" t="s">
        <v>10</v>
      </c>
      <c r="D47" s="53" t="s">
        <v>12</v>
      </c>
      <c r="E47" s="54">
        <v>81610</v>
      </c>
      <c r="F47" s="55">
        <v>42316</v>
      </c>
      <c r="G47" s="56">
        <v>1</v>
      </c>
      <c r="H47" s="57" t="s">
        <v>12</v>
      </c>
      <c r="I47" s="58" t="s">
        <v>117</v>
      </c>
      <c r="J47" s="72" t="str">
        <f t="shared" si="0"/>
        <v>High Salary</v>
      </c>
    </row>
    <row r="48" spans="1:10">
      <c r="A48" s="52" t="s">
        <v>118</v>
      </c>
      <c r="B48" s="53" t="s">
        <v>12</v>
      </c>
      <c r="C48" s="53" t="s">
        <v>16</v>
      </c>
      <c r="D48" s="53" t="s">
        <v>12</v>
      </c>
      <c r="E48" s="54">
        <v>58962</v>
      </c>
      <c r="F48" s="55">
        <v>42323</v>
      </c>
      <c r="G48" s="56">
        <v>3</v>
      </c>
      <c r="H48" s="57" t="s">
        <v>18</v>
      </c>
      <c r="I48" s="58" t="s">
        <v>19</v>
      </c>
      <c r="J48" s="72" t="str">
        <f t="shared" si="0"/>
        <v>Normal</v>
      </c>
    </row>
    <row r="49" spans="1:10">
      <c r="A49" s="52" t="s">
        <v>119</v>
      </c>
      <c r="B49" s="53" t="s">
        <v>40</v>
      </c>
      <c r="C49" s="53" t="s">
        <v>33</v>
      </c>
      <c r="D49" s="53" t="s">
        <v>17</v>
      </c>
      <c r="E49" s="54">
        <v>92701</v>
      </c>
      <c r="F49" s="55">
        <v>42330</v>
      </c>
      <c r="G49" s="56">
        <v>3</v>
      </c>
      <c r="H49" s="57" t="s">
        <v>18</v>
      </c>
      <c r="I49" s="58" t="s">
        <v>120</v>
      </c>
      <c r="J49" s="72" t="str">
        <f t="shared" si="0"/>
        <v>High Salary</v>
      </c>
    </row>
    <row r="50" spans="1:10">
      <c r="A50" s="52" t="s">
        <v>121</v>
      </c>
      <c r="B50" s="53" t="s">
        <v>40</v>
      </c>
      <c r="C50" s="53" t="s">
        <v>16</v>
      </c>
      <c r="D50" s="53" t="s">
        <v>34</v>
      </c>
      <c r="E50" s="54">
        <v>58245</v>
      </c>
      <c r="F50" s="55">
        <v>42337</v>
      </c>
      <c r="G50" s="56">
        <v>4</v>
      </c>
      <c r="H50" s="57" t="s">
        <v>12</v>
      </c>
      <c r="I50" s="58" t="s">
        <v>122</v>
      </c>
      <c r="J50" s="72" t="str">
        <f t="shared" si="0"/>
        <v>Normal</v>
      </c>
    </row>
    <row r="51" spans="1:10">
      <c r="A51" s="52" t="s">
        <v>123</v>
      </c>
      <c r="B51" s="53" t="s">
        <v>24</v>
      </c>
      <c r="C51" s="53" t="s">
        <v>10</v>
      </c>
      <c r="D51" s="53" t="s">
        <v>12</v>
      </c>
      <c r="E51" s="54">
        <v>66513</v>
      </c>
      <c r="F51" s="55">
        <v>42344</v>
      </c>
      <c r="G51" s="56">
        <v>2</v>
      </c>
      <c r="H51" s="57" t="s">
        <v>18</v>
      </c>
      <c r="I51" s="58" t="s">
        <v>36</v>
      </c>
      <c r="J51" s="72" t="str">
        <f t="shared" si="0"/>
        <v>Normal</v>
      </c>
    </row>
    <row r="52" spans="1:10">
      <c r="A52" s="52" t="s">
        <v>124</v>
      </c>
      <c r="B52" s="53" t="s">
        <v>15</v>
      </c>
      <c r="C52" s="53" t="s">
        <v>16</v>
      </c>
      <c r="D52" s="53" t="s">
        <v>17</v>
      </c>
      <c r="E52" s="54">
        <v>78720</v>
      </c>
      <c r="F52" s="55">
        <v>42351</v>
      </c>
      <c r="G52" s="56">
        <v>5</v>
      </c>
      <c r="H52" s="57" t="s">
        <v>35</v>
      </c>
      <c r="I52" s="58" t="s">
        <v>109</v>
      </c>
      <c r="J52" s="72" t="str">
        <f t="shared" si="0"/>
        <v>Normal</v>
      </c>
    </row>
    <row r="53" spans="1:10">
      <c r="A53" s="52" t="s">
        <v>125</v>
      </c>
      <c r="B53" s="53" t="s">
        <v>40</v>
      </c>
      <c r="C53" s="53" t="s">
        <v>12</v>
      </c>
      <c r="D53" s="53" t="s">
        <v>12</v>
      </c>
      <c r="E53" s="54">
        <v>30686</v>
      </c>
      <c r="F53" s="55" t="s">
        <v>12</v>
      </c>
      <c r="G53" s="56">
        <v>2</v>
      </c>
      <c r="H53" s="57" t="s">
        <v>35</v>
      </c>
      <c r="I53" s="58" t="s">
        <v>126</v>
      </c>
      <c r="J53" s="72" t="str">
        <f t="shared" si="0"/>
        <v>Normal</v>
      </c>
    </row>
    <row r="54" spans="1:10">
      <c r="A54" s="52" t="s">
        <v>127</v>
      </c>
      <c r="B54" s="53" t="s">
        <v>38</v>
      </c>
      <c r="C54" s="53" t="s">
        <v>25</v>
      </c>
      <c r="D54" s="53" t="s">
        <v>34</v>
      </c>
      <c r="E54" s="54">
        <v>39423</v>
      </c>
      <c r="F54" s="55">
        <v>42365</v>
      </c>
      <c r="G54" s="56">
        <v>5</v>
      </c>
      <c r="H54" s="57" t="s">
        <v>12</v>
      </c>
      <c r="I54" s="58" t="s">
        <v>128</v>
      </c>
      <c r="J54" s="72" t="str">
        <f t="shared" si="0"/>
        <v>Normal</v>
      </c>
    </row>
    <row r="55" spans="1:10">
      <c r="A55" s="52" t="s">
        <v>129</v>
      </c>
      <c r="B55" s="53" t="s">
        <v>15</v>
      </c>
      <c r="C55" s="67" t="s">
        <v>41</v>
      </c>
      <c r="D55" s="53" t="s">
        <v>12</v>
      </c>
      <c r="E55" s="54">
        <v>30280</v>
      </c>
      <c r="F55" s="55">
        <v>42372</v>
      </c>
      <c r="G55" s="56">
        <v>1</v>
      </c>
      <c r="H55" s="57" t="s">
        <v>12</v>
      </c>
      <c r="I55" s="58" t="s">
        <v>130</v>
      </c>
      <c r="J55" s="72" t="str">
        <f t="shared" si="0"/>
        <v>Normal</v>
      </c>
    </row>
    <row r="56" spans="1:10">
      <c r="A56" s="52" t="s">
        <v>131</v>
      </c>
      <c r="B56" s="53" t="s">
        <v>15</v>
      </c>
      <c r="C56" s="53" t="s">
        <v>10</v>
      </c>
      <c r="D56" s="53" t="s">
        <v>46</v>
      </c>
      <c r="E56" s="54">
        <v>33352</v>
      </c>
      <c r="F56" s="55">
        <v>42379</v>
      </c>
      <c r="G56" s="56">
        <v>3</v>
      </c>
      <c r="H56" s="57" t="s">
        <v>35</v>
      </c>
      <c r="I56" s="58" t="s">
        <v>70</v>
      </c>
      <c r="J56" s="72" t="str">
        <f t="shared" si="0"/>
        <v>Normal</v>
      </c>
    </row>
    <row r="57" spans="1:10">
      <c r="A57" s="52" t="s">
        <v>132</v>
      </c>
      <c r="B57" s="53" t="s">
        <v>53</v>
      </c>
      <c r="C57" s="53" t="s">
        <v>41</v>
      </c>
      <c r="D57" s="53" t="s">
        <v>46</v>
      </c>
      <c r="E57" s="54">
        <v>75633</v>
      </c>
      <c r="F57" s="55">
        <v>42386</v>
      </c>
      <c r="G57" s="56">
        <v>5</v>
      </c>
      <c r="H57" s="57" t="s">
        <v>18</v>
      </c>
      <c r="I57" s="58" t="s">
        <v>133</v>
      </c>
      <c r="J57" s="72" t="str">
        <f t="shared" si="0"/>
        <v>Normal</v>
      </c>
    </row>
    <row r="58" spans="1:10">
      <c r="A58" s="52" t="s">
        <v>134</v>
      </c>
      <c r="B58" s="53" t="s">
        <v>40</v>
      </c>
      <c r="C58" s="53" t="s">
        <v>12</v>
      </c>
      <c r="D58" s="53" t="s">
        <v>26</v>
      </c>
      <c r="E58" s="54">
        <v>74815</v>
      </c>
      <c r="F58" s="55">
        <v>42393</v>
      </c>
      <c r="G58" s="56">
        <v>5</v>
      </c>
      <c r="H58" s="57" t="s">
        <v>35</v>
      </c>
      <c r="I58" s="58" t="s">
        <v>135</v>
      </c>
      <c r="J58" s="72" t="str">
        <f t="shared" si="0"/>
        <v>Normal</v>
      </c>
    </row>
    <row r="59" spans="1:10">
      <c r="A59" s="52" t="s">
        <v>136</v>
      </c>
      <c r="B59" s="53" t="s">
        <v>24</v>
      </c>
      <c r="C59" s="53" t="s">
        <v>25</v>
      </c>
      <c r="D59" s="53" t="s">
        <v>63</v>
      </c>
      <c r="E59" s="54">
        <v>60011</v>
      </c>
      <c r="F59" s="55">
        <v>42400</v>
      </c>
      <c r="G59" s="56">
        <v>1</v>
      </c>
      <c r="H59" s="57" t="s">
        <v>27</v>
      </c>
      <c r="I59" s="58" t="s">
        <v>137</v>
      </c>
      <c r="J59" s="72" t="str">
        <f t="shared" si="0"/>
        <v>Normal</v>
      </c>
    </row>
    <row r="60" spans="1:10">
      <c r="A60" s="52" t="s">
        <v>138</v>
      </c>
      <c r="B60" s="67" t="s">
        <v>15</v>
      </c>
      <c r="C60" s="53" t="s">
        <v>12</v>
      </c>
      <c r="D60" s="53" t="s">
        <v>34</v>
      </c>
      <c r="E60" s="54">
        <v>96949</v>
      </c>
      <c r="F60" s="55">
        <v>42407</v>
      </c>
      <c r="G60" s="56">
        <v>3</v>
      </c>
      <c r="H60" s="57" t="s">
        <v>12</v>
      </c>
      <c r="I60" s="58" t="s">
        <v>84</v>
      </c>
      <c r="J60" s="72" t="str">
        <f t="shared" si="0"/>
        <v>High Salary</v>
      </c>
    </row>
    <row r="61" spans="1:10">
      <c r="A61" s="52" t="s">
        <v>139</v>
      </c>
      <c r="B61" s="53" t="s">
        <v>38</v>
      </c>
      <c r="C61" s="67" t="s">
        <v>41</v>
      </c>
      <c r="D61" s="53" t="s">
        <v>12</v>
      </c>
      <c r="E61" s="54">
        <v>84924</v>
      </c>
      <c r="F61" s="55">
        <v>42414</v>
      </c>
      <c r="G61" s="56">
        <v>5</v>
      </c>
      <c r="H61" s="57" t="s">
        <v>27</v>
      </c>
      <c r="I61" s="58" t="s">
        <v>140</v>
      </c>
      <c r="J61" s="72" t="str">
        <f t="shared" si="0"/>
        <v>High Salary</v>
      </c>
    </row>
    <row r="62" spans="1:10">
      <c r="A62" s="52" t="s">
        <v>141</v>
      </c>
      <c r="B62" s="53" t="s">
        <v>38</v>
      </c>
      <c r="C62" s="53" t="s">
        <v>10</v>
      </c>
      <c r="D62" s="53" t="s">
        <v>26</v>
      </c>
      <c r="E62" s="54">
        <v>82033</v>
      </c>
      <c r="F62" s="55">
        <v>42421</v>
      </c>
      <c r="G62" s="56">
        <v>1</v>
      </c>
      <c r="H62" s="57" t="s">
        <v>12</v>
      </c>
      <c r="I62" s="58" t="s">
        <v>117</v>
      </c>
      <c r="J62" s="72" t="str">
        <f t="shared" si="0"/>
        <v>High Salary</v>
      </c>
    </row>
    <row r="63" spans="1:10">
      <c r="A63" s="52" t="s">
        <v>142</v>
      </c>
      <c r="B63" s="53" t="s">
        <v>12</v>
      </c>
      <c r="C63" s="53" t="s">
        <v>41</v>
      </c>
      <c r="D63" s="53" t="s">
        <v>17</v>
      </c>
      <c r="E63" s="54">
        <v>64763.364705882355</v>
      </c>
      <c r="F63" s="55" t="s">
        <v>12</v>
      </c>
      <c r="G63" s="56">
        <v>5</v>
      </c>
      <c r="H63" s="57" t="s">
        <v>12</v>
      </c>
      <c r="I63" s="58" t="s">
        <v>143</v>
      </c>
      <c r="J63" s="72" t="str">
        <f t="shared" si="0"/>
        <v>Normal</v>
      </c>
    </row>
    <row r="64" spans="1:10">
      <c r="A64" s="52" t="s">
        <v>144</v>
      </c>
      <c r="B64" s="67" t="s">
        <v>15</v>
      </c>
      <c r="C64" s="53" t="s">
        <v>12</v>
      </c>
      <c r="D64" s="53" t="s">
        <v>63</v>
      </c>
      <c r="E64" s="54">
        <v>31499</v>
      </c>
      <c r="F64" s="55">
        <v>42435</v>
      </c>
      <c r="G64" s="56">
        <v>2</v>
      </c>
      <c r="H64" s="57" t="s">
        <v>12</v>
      </c>
      <c r="I64" s="58" t="s">
        <v>101</v>
      </c>
      <c r="J64" s="72" t="str">
        <f t="shared" si="0"/>
        <v>Normal</v>
      </c>
    </row>
    <row r="65" spans="1:10">
      <c r="A65" s="52" t="s">
        <v>145</v>
      </c>
      <c r="B65" s="53" t="s">
        <v>40</v>
      </c>
      <c r="C65" s="53" t="s">
        <v>33</v>
      </c>
      <c r="D65" s="53" t="s">
        <v>46</v>
      </c>
      <c r="E65" s="54">
        <v>97981</v>
      </c>
      <c r="F65" s="55">
        <v>42442</v>
      </c>
      <c r="G65" s="56">
        <v>5</v>
      </c>
      <c r="H65" s="57" t="s">
        <v>35</v>
      </c>
      <c r="I65" s="58" t="s">
        <v>146</v>
      </c>
      <c r="J65" s="72" t="str">
        <f t="shared" si="0"/>
        <v>High Salary</v>
      </c>
    </row>
    <row r="66" spans="1:10">
      <c r="A66" s="52" t="s">
        <v>147</v>
      </c>
      <c r="B66" s="53" t="s">
        <v>15</v>
      </c>
      <c r="C66" s="53" t="s">
        <v>16</v>
      </c>
      <c r="D66" s="53" t="s">
        <v>26</v>
      </c>
      <c r="E66" s="54">
        <v>36541</v>
      </c>
      <c r="F66" s="55">
        <v>42449</v>
      </c>
      <c r="G66" s="56">
        <v>2</v>
      </c>
      <c r="H66" s="57" t="s">
        <v>18</v>
      </c>
      <c r="I66" s="58" t="s">
        <v>148</v>
      </c>
      <c r="J66" s="72" t="str">
        <f t="shared" si="0"/>
        <v>Normal</v>
      </c>
    </row>
    <row r="67" spans="1:10">
      <c r="A67" s="52" t="s">
        <v>149</v>
      </c>
      <c r="B67" s="53" t="s">
        <v>24</v>
      </c>
      <c r="C67" s="53" t="s">
        <v>33</v>
      </c>
      <c r="D67" s="53" t="s">
        <v>34</v>
      </c>
      <c r="E67" s="54">
        <v>84737</v>
      </c>
      <c r="F67" s="55">
        <v>42456</v>
      </c>
      <c r="G67" s="56">
        <v>1</v>
      </c>
      <c r="H67" s="57" t="s">
        <v>27</v>
      </c>
      <c r="I67" s="58" t="s">
        <v>150</v>
      </c>
      <c r="J67" s="72" t="str">
        <f t="shared" si="0"/>
        <v>High Salary</v>
      </c>
    </row>
    <row r="68" spans="1:10">
      <c r="A68" s="52" t="s">
        <v>151</v>
      </c>
      <c r="B68" s="53" t="s">
        <v>38</v>
      </c>
      <c r="C68" s="53" t="s">
        <v>10</v>
      </c>
      <c r="D68" s="53" t="s">
        <v>34</v>
      </c>
      <c r="E68" s="54">
        <v>33468</v>
      </c>
      <c r="F68" s="55">
        <v>42463</v>
      </c>
      <c r="G68" s="56">
        <v>4</v>
      </c>
      <c r="H68" s="57" t="s">
        <v>27</v>
      </c>
      <c r="I68" s="58" t="s">
        <v>152</v>
      </c>
      <c r="J68" s="72" t="str">
        <f t="shared" ref="J68:J131" si="1">IF(E68&gt;80000,"High Salary", "Normal")</f>
        <v>Normal</v>
      </c>
    </row>
    <row r="69" spans="1:10">
      <c r="A69" s="52" t="s">
        <v>153</v>
      </c>
      <c r="B69" s="67" t="s">
        <v>38</v>
      </c>
      <c r="C69" s="53" t="s">
        <v>12</v>
      </c>
      <c r="D69" s="53" t="s">
        <v>63</v>
      </c>
      <c r="E69" s="54">
        <v>96365</v>
      </c>
      <c r="F69" s="55">
        <v>42470</v>
      </c>
      <c r="G69" s="56">
        <v>3</v>
      </c>
      <c r="H69" s="57" t="s">
        <v>18</v>
      </c>
      <c r="I69" s="58" t="s">
        <v>154</v>
      </c>
      <c r="J69" s="72" t="str">
        <f t="shared" si="1"/>
        <v>High Salary</v>
      </c>
    </row>
    <row r="70" spans="1:10">
      <c r="A70" s="52" t="s">
        <v>155</v>
      </c>
      <c r="B70" s="53" t="s">
        <v>21</v>
      </c>
      <c r="C70" s="53" t="s">
        <v>25</v>
      </c>
      <c r="D70" s="53" t="s">
        <v>34</v>
      </c>
      <c r="E70" s="54">
        <v>61942</v>
      </c>
      <c r="F70" s="55">
        <v>42477</v>
      </c>
      <c r="G70" s="56">
        <v>3</v>
      </c>
      <c r="H70" s="57" t="s">
        <v>35</v>
      </c>
      <c r="I70" s="58" t="s">
        <v>156</v>
      </c>
      <c r="J70" s="72" t="str">
        <f t="shared" si="1"/>
        <v>Normal</v>
      </c>
    </row>
    <row r="71" spans="1:10">
      <c r="A71" s="52" t="s">
        <v>157</v>
      </c>
      <c r="B71" s="53" t="s">
        <v>38</v>
      </c>
      <c r="C71" s="53" t="s">
        <v>10</v>
      </c>
      <c r="D71" s="53" t="s">
        <v>46</v>
      </c>
      <c r="E71" s="54">
        <v>41467</v>
      </c>
      <c r="F71" s="55">
        <v>42484</v>
      </c>
      <c r="G71" s="56">
        <v>2</v>
      </c>
      <c r="H71" s="57" t="s">
        <v>12</v>
      </c>
      <c r="I71" s="58" t="s">
        <v>72</v>
      </c>
      <c r="J71" s="72" t="str">
        <f t="shared" si="1"/>
        <v>Normal</v>
      </c>
    </row>
    <row r="72" spans="1:10">
      <c r="A72" s="52" t="s">
        <v>158</v>
      </c>
      <c r="B72" s="53" t="s">
        <v>53</v>
      </c>
      <c r="C72" s="53" t="s">
        <v>10</v>
      </c>
      <c r="D72" s="53" t="s">
        <v>34</v>
      </c>
      <c r="E72" s="54">
        <v>77096</v>
      </c>
      <c r="F72" s="55">
        <v>42491</v>
      </c>
      <c r="G72" s="56">
        <v>1</v>
      </c>
      <c r="H72" s="57" t="s">
        <v>12</v>
      </c>
      <c r="I72" s="58" t="s">
        <v>159</v>
      </c>
      <c r="J72" s="72" t="str">
        <f t="shared" si="1"/>
        <v>Normal</v>
      </c>
    </row>
    <row r="73" spans="1:10">
      <c r="A73" s="52" t="s">
        <v>160</v>
      </c>
      <c r="B73" s="53" t="s">
        <v>15</v>
      </c>
      <c r="C73" s="53" t="s">
        <v>25</v>
      </c>
      <c r="D73" s="53" t="s">
        <v>63</v>
      </c>
      <c r="E73" s="54">
        <v>69952</v>
      </c>
      <c r="F73" s="55">
        <v>42498</v>
      </c>
      <c r="G73" s="56">
        <v>5</v>
      </c>
      <c r="H73" s="57" t="s">
        <v>35</v>
      </c>
      <c r="I73" s="58" t="s">
        <v>12</v>
      </c>
      <c r="J73" s="72" t="str">
        <f t="shared" si="1"/>
        <v>Normal</v>
      </c>
    </row>
    <row r="74" spans="1:10">
      <c r="A74" s="52" t="s">
        <v>161</v>
      </c>
      <c r="B74" s="53" t="s">
        <v>15</v>
      </c>
      <c r="C74" s="53" t="s">
        <v>41</v>
      </c>
      <c r="D74" s="53" t="s">
        <v>26</v>
      </c>
      <c r="E74" s="54">
        <v>85065</v>
      </c>
      <c r="F74" s="55">
        <v>42505</v>
      </c>
      <c r="G74" s="56">
        <v>3</v>
      </c>
      <c r="H74" s="57" t="s">
        <v>12</v>
      </c>
      <c r="I74" s="58" t="s">
        <v>162</v>
      </c>
      <c r="J74" s="72" t="str">
        <f t="shared" si="1"/>
        <v>High Salary</v>
      </c>
    </row>
    <row r="75" spans="1:10">
      <c r="A75" s="52" t="s">
        <v>163</v>
      </c>
      <c r="B75" s="53" t="s">
        <v>53</v>
      </c>
      <c r="C75" s="53" t="s">
        <v>41</v>
      </c>
      <c r="D75" s="53" t="s">
        <v>34</v>
      </c>
      <c r="E75" s="54">
        <v>56512</v>
      </c>
      <c r="F75" s="55">
        <v>42512</v>
      </c>
      <c r="G75" s="56">
        <v>2.8571428571428572</v>
      </c>
      <c r="H75" s="57" t="s">
        <v>18</v>
      </c>
      <c r="I75" s="58" t="s">
        <v>47</v>
      </c>
      <c r="J75" s="72" t="str">
        <f t="shared" si="1"/>
        <v>Normal</v>
      </c>
    </row>
    <row r="76" spans="1:10">
      <c r="A76" s="52" t="s">
        <v>164</v>
      </c>
      <c r="B76" s="53" t="s">
        <v>24</v>
      </c>
      <c r="C76" s="53" t="s">
        <v>25</v>
      </c>
      <c r="D76" s="53" t="s">
        <v>34</v>
      </c>
      <c r="E76" s="54">
        <v>91101</v>
      </c>
      <c r="F76" s="55">
        <v>42519</v>
      </c>
      <c r="G76" s="56">
        <v>4</v>
      </c>
      <c r="H76" s="57" t="s">
        <v>35</v>
      </c>
      <c r="I76" s="58" t="s">
        <v>146</v>
      </c>
      <c r="J76" s="72" t="str">
        <f t="shared" si="1"/>
        <v>High Salary</v>
      </c>
    </row>
    <row r="77" spans="1:10">
      <c r="A77" s="52" t="s">
        <v>165</v>
      </c>
      <c r="B77" s="67" t="s">
        <v>38</v>
      </c>
      <c r="C77" s="53" t="s">
        <v>12</v>
      </c>
      <c r="D77" s="53" t="s">
        <v>17</v>
      </c>
      <c r="E77" s="54">
        <v>41243</v>
      </c>
      <c r="F77" s="55">
        <v>42526</v>
      </c>
      <c r="G77" s="56">
        <v>2.838709677419355</v>
      </c>
      <c r="H77" s="57" t="s">
        <v>12</v>
      </c>
      <c r="I77" s="58" t="s">
        <v>92</v>
      </c>
      <c r="J77" s="72" t="str">
        <f t="shared" si="1"/>
        <v>Normal</v>
      </c>
    </row>
    <row r="78" spans="1:10">
      <c r="A78" s="52" t="s">
        <v>166</v>
      </c>
      <c r="B78" s="53" t="s">
        <v>12</v>
      </c>
      <c r="C78" s="53" t="s">
        <v>25</v>
      </c>
      <c r="D78" s="53" t="s">
        <v>12</v>
      </c>
      <c r="E78" s="54">
        <v>96142</v>
      </c>
      <c r="F78" s="55">
        <v>42533</v>
      </c>
      <c r="G78" s="56">
        <v>1</v>
      </c>
      <c r="H78" s="57" t="s">
        <v>18</v>
      </c>
      <c r="I78" s="58" t="s">
        <v>167</v>
      </c>
      <c r="J78" s="72" t="str">
        <f t="shared" si="1"/>
        <v>High Salary</v>
      </c>
    </row>
    <row r="79" spans="1:10">
      <c r="A79" s="52" t="s">
        <v>168</v>
      </c>
      <c r="B79" s="53" t="s">
        <v>15</v>
      </c>
      <c r="C79" s="53" t="s">
        <v>33</v>
      </c>
      <c r="D79" s="53" t="s">
        <v>34</v>
      </c>
      <c r="E79" s="54">
        <v>94301</v>
      </c>
      <c r="F79" s="55">
        <v>42540</v>
      </c>
      <c r="G79" s="56">
        <v>1</v>
      </c>
      <c r="H79" s="57" t="s">
        <v>27</v>
      </c>
      <c r="I79" s="58" t="s">
        <v>117</v>
      </c>
      <c r="J79" s="72" t="str">
        <f t="shared" si="1"/>
        <v>High Salary</v>
      </c>
    </row>
    <row r="80" spans="1:10">
      <c r="A80" s="52" t="s">
        <v>169</v>
      </c>
      <c r="B80" s="67" t="s">
        <v>30</v>
      </c>
      <c r="C80" s="53" t="s">
        <v>12</v>
      </c>
      <c r="D80" s="53" t="s">
        <v>46</v>
      </c>
      <c r="E80" s="54">
        <v>69166</v>
      </c>
      <c r="F80" s="55">
        <v>42547</v>
      </c>
      <c r="G80" s="56">
        <v>1</v>
      </c>
      <c r="H80" s="57" t="s">
        <v>35</v>
      </c>
      <c r="I80" s="58" t="s">
        <v>170</v>
      </c>
      <c r="J80" s="72" t="str">
        <f t="shared" si="1"/>
        <v>Normal</v>
      </c>
    </row>
    <row r="81" spans="1:10">
      <c r="A81" s="52" t="s">
        <v>171</v>
      </c>
      <c r="B81" s="67" t="s">
        <v>38</v>
      </c>
      <c r="C81" s="53" t="s">
        <v>12</v>
      </c>
      <c r="D81" s="53" t="s">
        <v>46</v>
      </c>
      <c r="E81" s="54">
        <v>78245</v>
      </c>
      <c r="F81" s="55">
        <v>42554</v>
      </c>
      <c r="G81" s="56">
        <v>2</v>
      </c>
      <c r="H81" s="57" t="s">
        <v>12</v>
      </c>
      <c r="I81" s="58" t="s">
        <v>172</v>
      </c>
      <c r="J81" s="72" t="str">
        <f t="shared" si="1"/>
        <v>Normal</v>
      </c>
    </row>
    <row r="82" spans="1:10">
      <c r="A82" s="52" t="s">
        <v>173</v>
      </c>
      <c r="B82" s="53" t="s">
        <v>40</v>
      </c>
      <c r="C82" s="53" t="s">
        <v>25</v>
      </c>
      <c r="D82" s="53" t="s">
        <v>26</v>
      </c>
      <c r="E82" s="54">
        <v>66079</v>
      </c>
      <c r="F82" s="55">
        <v>42561</v>
      </c>
      <c r="G82" s="56">
        <v>2</v>
      </c>
      <c r="H82" s="57" t="s">
        <v>18</v>
      </c>
      <c r="I82" s="58" t="s">
        <v>174</v>
      </c>
      <c r="J82" s="72" t="str">
        <f t="shared" si="1"/>
        <v>Normal</v>
      </c>
    </row>
    <row r="83" spans="1:10">
      <c r="A83" s="52" t="s">
        <v>175</v>
      </c>
      <c r="B83" s="53" t="s">
        <v>15</v>
      </c>
      <c r="C83" s="53" t="s">
        <v>41</v>
      </c>
      <c r="D83" s="53" t="s">
        <v>34</v>
      </c>
      <c r="E83" s="54">
        <v>63575.515151515152</v>
      </c>
      <c r="F83" s="55" t="s">
        <v>12</v>
      </c>
      <c r="G83" s="56">
        <v>2.9649122807017543</v>
      </c>
      <c r="H83" s="57" t="s">
        <v>12</v>
      </c>
      <c r="I83" s="58" t="s">
        <v>86</v>
      </c>
      <c r="J83" s="72" t="str">
        <f t="shared" si="1"/>
        <v>Normal</v>
      </c>
    </row>
    <row r="84" spans="1:10">
      <c r="A84" s="52" t="s">
        <v>176</v>
      </c>
      <c r="B84" s="53" t="s">
        <v>30</v>
      </c>
      <c r="C84" s="53" t="s">
        <v>25</v>
      </c>
      <c r="D84" s="53" t="s">
        <v>26</v>
      </c>
      <c r="E84" s="54">
        <v>95621</v>
      </c>
      <c r="F84" s="55">
        <v>42575</v>
      </c>
      <c r="G84" s="56">
        <v>3</v>
      </c>
      <c r="H84" s="57" t="s">
        <v>35</v>
      </c>
      <c r="I84" s="58" t="s">
        <v>177</v>
      </c>
      <c r="J84" s="72" t="str">
        <f t="shared" si="1"/>
        <v>High Salary</v>
      </c>
    </row>
    <row r="85" spans="1:10">
      <c r="A85" s="52" t="s">
        <v>178</v>
      </c>
      <c r="B85" s="53" t="s">
        <v>15</v>
      </c>
      <c r="C85" s="53" t="s">
        <v>33</v>
      </c>
      <c r="D85" s="53" t="s">
        <v>46</v>
      </c>
      <c r="E85" s="54">
        <v>42262</v>
      </c>
      <c r="F85" s="55">
        <v>42582</v>
      </c>
      <c r="G85" s="56">
        <v>1</v>
      </c>
      <c r="H85" s="57" t="s">
        <v>12</v>
      </c>
      <c r="I85" s="58" t="s">
        <v>179</v>
      </c>
      <c r="J85" s="72" t="str">
        <f t="shared" si="1"/>
        <v>Normal</v>
      </c>
    </row>
    <row r="86" spans="1:10">
      <c r="A86" s="52" t="s">
        <v>180</v>
      </c>
      <c r="B86" s="53" t="s">
        <v>38</v>
      </c>
      <c r="C86" s="53" t="s">
        <v>25</v>
      </c>
      <c r="D86" s="53" t="s">
        <v>34</v>
      </c>
      <c r="E86" s="54">
        <v>99621</v>
      </c>
      <c r="F86" s="55">
        <v>42589</v>
      </c>
      <c r="G86" s="56">
        <v>3</v>
      </c>
      <c r="H86" s="57" t="s">
        <v>18</v>
      </c>
      <c r="I86" s="58" t="s">
        <v>181</v>
      </c>
      <c r="J86" s="72" t="str">
        <f t="shared" si="1"/>
        <v>High Salary</v>
      </c>
    </row>
    <row r="87" spans="1:10">
      <c r="A87" s="52" t="s">
        <v>182</v>
      </c>
      <c r="B87" s="53" t="s">
        <v>24</v>
      </c>
      <c r="C87" s="53" t="s">
        <v>41</v>
      </c>
      <c r="D87" s="53" t="s">
        <v>34</v>
      </c>
      <c r="E87" s="54">
        <v>44682</v>
      </c>
      <c r="F87" s="55">
        <v>42596</v>
      </c>
      <c r="G87" s="56">
        <v>4</v>
      </c>
      <c r="H87" s="57" t="s">
        <v>35</v>
      </c>
      <c r="I87" s="58" t="s">
        <v>111</v>
      </c>
      <c r="J87" s="72" t="str">
        <f t="shared" si="1"/>
        <v>Normal</v>
      </c>
    </row>
    <row r="88" spans="1:10">
      <c r="A88" s="52" t="s">
        <v>183</v>
      </c>
      <c r="B88" s="53" t="s">
        <v>40</v>
      </c>
      <c r="C88" s="53" t="s">
        <v>10</v>
      </c>
      <c r="D88" s="53" t="s">
        <v>12</v>
      </c>
      <c r="E88" s="54">
        <v>35163</v>
      </c>
      <c r="F88" s="55">
        <v>42603</v>
      </c>
      <c r="G88" s="56">
        <v>5</v>
      </c>
      <c r="H88" s="57" t="s">
        <v>18</v>
      </c>
      <c r="I88" s="58" t="s">
        <v>184</v>
      </c>
      <c r="J88" s="72" t="str">
        <f t="shared" si="1"/>
        <v>Normal</v>
      </c>
    </row>
    <row r="89" spans="1:10">
      <c r="A89" s="52" t="s">
        <v>185</v>
      </c>
      <c r="B89" s="53" t="s">
        <v>40</v>
      </c>
      <c r="C89" s="53" t="s">
        <v>33</v>
      </c>
      <c r="D89" s="53" t="s">
        <v>34</v>
      </c>
      <c r="E89" s="54">
        <v>33483</v>
      </c>
      <c r="F89" s="55">
        <v>42610</v>
      </c>
      <c r="G89" s="56">
        <v>4</v>
      </c>
      <c r="H89" s="57" t="s">
        <v>27</v>
      </c>
      <c r="I89" s="58" t="s">
        <v>186</v>
      </c>
      <c r="J89" s="72" t="str">
        <f t="shared" si="1"/>
        <v>Normal</v>
      </c>
    </row>
    <row r="90" spans="1:10">
      <c r="A90" s="52" t="s">
        <v>187</v>
      </c>
      <c r="B90" s="53" t="s">
        <v>38</v>
      </c>
      <c r="C90" s="53" t="s">
        <v>16</v>
      </c>
      <c r="D90" s="53" t="s">
        <v>17</v>
      </c>
      <c r="E90" s="54">
        <v>55303</v>
      </c>
      <c r="F90" s="55">
        <v>42617</v>
      </c>
      <c r="G90" s="56">
        <v>4</v>
      </c>
      <c r="H90" s="57" t="s">
        <v>27</v>
      </c>
      <c r="I90" s="58" t="s">
        <v>76</v>
      </c>
      <c r="J90" s="72" t="str">
        <f t="shared" si="1"/>
        <v>Normal</v>
      </c>
    </row>
    <row r="91" spans="1:10">
      <c r="A91" s="52" t="s">
        <v>188</v>
      </c>
      <c r="B91" s="53" t="s">
        <v>40</v>
      </c>
      <c r="C91" s="53" t="s">
        <v>33</v>
      </c>
      <c r="D91" s="53" t="s">
        <v>12</v>
      </c>
      <c r="E91" s="54">
        <v>63434</v>
      </c>
      <c r="F91" s="55">
        <v>42624</v>
      </c>
      <c r="G91" s="56">
        <v>3</v>
      </c>
      <c r="H91" s="57" t="s">
        <v>12</v>
      </c>
      <c r="I91" s="58" t="s">
        <v>189</v>
      </c>
      <c r="J91" s="72" t="str">
        <f t="shared" si="1"/>
        <v>Normal</v>
      </c>
    </row>
    <row r="92" spans="1:10">
      <c r="A92" s="52" t="s">
        <v>190</v>
      </c>
      <c r="B92" s="67" t="s">
        <v>30</v>
      </c>
      <c r="C92" s="53" t="s">
        <v>12</v>
      </c>
      <c r="D92" s="53" t="s">
        <v>63</v>
      </c>
      <c r="E92" s="54">
        <v>38830</v>
      </c>
      <c r="F92" s="55">
        <v>42631</v>
      </c>
      <c r="G92" s="56">
        <v>3</v>
      </c>
      <c r="H92" s="57" t="s">
        <v>18</v>
      </c>
      <c r="I92" s="58" t="s">
        <v>76</v>
      </c>
      <c r="J92" s="72" t="str">
        <f t="shared" si="1"/>
        <v>Normal</v>
      </c>
    </row>
    <row r="93" spans="1:10">
      <c r="A93" s="52" t="s">
        <v>191</v>
      </c>
      <c r="B93" s="53" t="s">
        <v>12</v>
      </c>
      <c r="C93" s="53" t="s">
        <v>41</v>
      </c>
      <c r="D93" s="53" t="s">
        <v>46</v>
      </c>
      <c r="E93" s="54">
        <v>50741</v>
      </c>
      <c r="F93" s="55">
        <v>42638</v>
      </c>
      <c r="G93" s="56">
        <v>3</v>
      </c>
      <c r="H93" s="57" t="s">
        <v>12</v>
      </c>
      <c r="I93" s="58" t="s">
        <v>159</v>
      </c>
      <c r="J93" s="72" t="str">
        <f t="shared" si="1"/>
        <v>Normal</v>
      </c>
    </row>
    <row r="94" spans="1:10">
      <c r="A94" s="52" t="s">
        <v>192</v>
      </c>
      <c r="B94" s="53" t="s">
        <v>21</v>
      </c>
      <c r="C94" s="53" t="s">
        <v>16</v>
      </c>
      <c r="D94" s="53" t="s">
        <v>63</v>
      </c>
      <c r="E94" s="54">
        <v>69420</v>
      </c>
      <c r="F94" s="55">
        <v>42645</v>
      </c>
      <c r="G94" s="56">
        <v>1</v>
      </c>
      <c r="H94" s="57" t="s">
        <v>27</v>
      </c>
      <c r="I94" s="58" t="s">
        <v>122</v>
      </c>
      <c r="J94" s="72" t="str">
        <f t="shared" si="1"/>
        <v>Normal</v>
      </c>
    </row>
    <row r="95" spans="1:10">
      <c r="A95" s="52" t="s">
        <v>193</v>
      </c>
      <c r="B95" s="53" t="s">
        <v>30</v>
      </c>
      <c r="C95" s="53" t="s">
        <v>33</v>
      </c>
      <c r="D95" s="53" t="s">
        <v>12</v>
      </c>
      <c r="E95" s="54">
        <v>80588</v>
      </c>
      <c r="F95" s="55">
        <v>42652</v>
      </c>
      <c r="G95" s="56">
        <v>5</v>
      </c>
      <c r="H95" s="57" t="s">
        <v>27</v>
      </c>
      <c r="I95" s="58" t="s">
        <v>103</v>
      </c>
      <c r="J95" s="72" t="str">
        <f t="shared" si="1"/>
        <v>High Salary</v>
      </c>
    </row>
    <row r="96" spans="1:10">
      <c r="A96" s="52" t="s">
        <v>194</v>
      </c>
      <c r="B96" s="67" t="s">
        <v>21</v>
      </c>
      <c r="C96" s="53" t="s">
        <v>12</v>
      </c>
      <c r="D96" s="53" t="s">
        <v>26</v>
      </c>
      <c r="E96" s="54">
        <v>76238</v>
      </c>
      <c r="F96" s="55">
        <v>42659</v>
      </c>
      <c r="G96" s="56">
        <v>4</v>
      </c>
      <c r="H96" s="57" t="s">
        <v>27</v>
      </c>
      <c r="I96" s="58" t="s">
        <v>195</v>
      </c>
      <c r="J96" s="72" t="str">
        <f t="shared" si="1"/>
        <v>Normal</v>
      </c>
    </row>
    <row r="97" spans="1:10">
      <c r="A97" s="52" t="s">
        <v>196</v>
      </c>
      <c r="B97" s="53" t="s">
        <v>53</v>
      </c>
      <c r="C97" s="53" t="s">
        <v>33</v>
      </c>
      <c r="D97" s="53" t="s">
        <v>34</v>
      </c>
      <c r="E97" s="54">
        <v>33264</v>
      </c>
      <c r="F97" s="55">
        <v>42666</v>
      </c>
      <c r="G97" s="56">
        <v>2.8666666666666667</v>
      </c>
      <c r="H97" s="57" t="s">
        <v>35</v>
      </c>
      <c r="I97" s="58" t="s">
        <v>197</v>
      </c>
      <c r="J97" s="72" t="str">
        <f t="shared" si="1"/>
        <v>Normal</v>
      </c>
    </row>
    <row r="98" spans="1:10">
      <c r="A98" s="52" t="s">
        <v>198</v>
      </c>
      <c r="B98" s="53" t="s">
        <v>21</v>
      </c>
      <c r="C98" s="53" t="s">
        <v>10</v>
      </c>
      <c r="D98" s="53" t="s">
        <v>63</v>
      </c>
      <c r="E98" s="54">
        <v>96101</v>
      </c>
      <c r="F98" s="55">
        <v>42673</v>
      </c>
      <c r="G98" s="56">
        <v>2.8666666666666667</v>
      </c>
      <c r="H98" s="57" t="s">
        <v>18</v>
      </c>
      <c r="I98" s="58" t="s">
        <v>199</v>
      </c>
      <c r="J98" s="72" t="str">
        <f t="shared" si="1"/>
        <v>High Salary</v>
      </c>
    </row>
    <row r="99" spans="1:10">
      <c r="A99" s="52" t="s">
        <v>200</v>
      </c>
      <c r="B99" s="53" t="s">
        <v>30</v>
      </c>
      <c r="C99" s="53" t="s">
        <v>10</v>
      </c>
      <c r="D99" s="53" t="s">
        <v>26</v>
      </c>
      <c r="E99" s="54">
        <v>72939</v>
      </c>
      <c r="F99" s="55">
        <v>42680</v>
      </c>
      <c r="G99" s="56">
        <v>3</v>
      </c>
      <c r="H99" s="57" t="s">
        <v>12</v>
      </c>
      <c r="I99" s="58" t="s">
        <v>201</v>
      </c>
      <c r="J99" s="72" t="str">
        <f t="shared" si="1"/>
        <v>Normal</v>
      </c>
    </row>
    <row r="100" spans="1:10">
      <c r="A100" s="52" t="s">
        <v>202</v>
      </c>
      <c r="B100" s="53" t="s">
        <v>38</v>
      </c>
      <c r="C100" s="53" t="s">
        <v>16</v>
      </c>
      <c r="D100" s="53" t="s">
        <v>17</v>
      </c>
      <c r="E100" s="54">
        <v>89333</v>
      </c>
      <c r="F100" s="55">
        <v>42687</v>
      </c>
      <c r="G100" s="56">
        <v>1</v>
      </c>
      <c r="H100" s="57" t="s">
        <v>27</v>
      </c>
      <c r="I100" s="58" t="s">
        <v>203</v>
      </c>
      <c r="J100" s="72" t="str">
        <f t="shared" si="1"/>
        <v>High Salary</v>
      </c>
    </row>
    <row r="101" spans="1:10">
      <c r="A101" s="52" t="s">
        <v>204</v>
      </c>
      <c r="B101" s="53" t="s">
        <v>53</v>
      </c>
      <c r="C101" s="53" t="s">
        <v>33</v>
      </c>
      <c r="D101" s="53" t="s">
        <v>63</v>
      </c>
      <c r="E101" s="54">
        <v>70470</v>
      </c>
      <c r="F101" s="55">
        <v>42694</v>
      </c>
      <c r="G101" s="56">
        <v>2.9069767441860463</v>
      </c>
      <c r="H101" s="57" t="s">
        <v>27</v>
      </c>
      <c r="I101" s="58" t="s">
        <v>205</v>
      </c>
      <c r="J101" s="72" t="str">
        <f t="shared" si="1"/>
        <v>Normal</v>
      </c>
    </row>
    <row r="102" spans="1:10">
      <c r="A102" s="52" t="s">
        <v>206</v>
      </c>
      <c r="B102" s="53" t="s">
        <v>15</v>
      </c>
      <c r="C102" s="53" t="s">
        <v>41</v>
      </c>
      <c r="D102" s="53" t="s">
        <v>26</v>
      </c>
      <c r="E102" s="54">
        <v>70096</v>
      </c>
      <c r="F102" s="55">
        <v>42701</v>
      </c>
      <c r="G102" s="56">
        <v>4</v>
      </c>
      <c r="H102" s="57" t="s">
        <v>27</v>
      </c>
      <c r="I102" s="58" t="s">
        <v>207</v>
      </c>
      <c r="J102" s="72" t="str">
        <f t="shared" si="1"/>
        <v>Normal</v>
      </c>
    </row>
    <row r="103" spans="1:10">
      <c r="A103" s="52" t="s">
        <v>208</v>
      </c>
      <c r="B103" s="53" t="s">
        <v>53</v>
      </c>
      <c r="C103" s="53" t="s">
        <v>41</v>
      </c>
      <c r="D103" s="53" t="s">
        <v>12</v>
      </c>
      <c r="E103" s="54">
        <v>63370.106382978724</v>
      </c>
      <c r="F103" s="55">
        <v>42708</v>
      </c>
      <c r="G103" s="56">
        <v>2</v>
      </c>
      <c r="H103" s="57" t="s">
        <v>18</v>
      </c>
      <c r="I103" s="58" t="s">
        <v>209</v>
      </c>
      <c r="J103" s="72" t="str">
        <f t="shared" si="1"/>
        <v>Normal</v>
      </c>
    </row>
    <row r="104" spans="1:10">
      <c r="A104" s="52" t="s">
        <v>210</v>
      </c>
      <c r="B104" s="53" t="s">
        <v>53</v>
      </c>
      <c r="C104" s="53" t="s">
        <v>33</v>
      </c>
      <c r="D104" s="53" t="s">
        <v>17</v>
      </c>
      <c r="E104" s="54">
        <v>66503</v>
      </c>
      <c r="F104" s="55">
        <v>42715</v>
      </c>
      <c r="G104" s="56">
        <v>2.9024390243902438</v>
      </c>
      <c r="H104" s="57" t="s">
        <v>27</v>
      </c>
      <c r="I104" s="58" t="s">
        <v>70</v>
      </c>
      <c r="J104" s="72" t="str">
        <f t="shared" si="1"/>
        <v>Normal</v>
      </c>
    </row>
    <row r="105" spans="1:10">
      <c r="A105" s="52" t="s">
        <v>211</v>
      </c>
      <c r="B105" s="53" t="s">
        <v>21</v>
      </c>
      <c r="C105" s="53" t="s">
        <v>16</v>
      </c>
      <c r="D105" s="53" t="s">
        <v>17</v>
      </c>
      <c r="E105" s="54">
        <v>42096</v>
      </c>
      <c r="F105" s="55">
        <v>42722</v>
      </c>
      <c r="G105" s="56">
        <v>2.9024390243902438</v>
      </c>
      <c r="H105" s="57" t="s">
        <v>35</v>
      </c>
      <c r="I105" s="58" t="s">
        <v>212</v>
      </c>
      <c r="J105" s="72" t="str">
        <f t="shared" si="1"/>
        <v>Normal</v>
      </c>
    </row>
    <row r="106" spans="1:10">
      <c r="A106" s="52" t="s">
        <v>213</v>
      </c>
      <c r="B106" s="53" t="s">
        <v>21</v>
      </c>
      <c r="C106" s="67" t="s">
        <v>41</v>
      </c>
      <c r="D106" s="53" t="s">
        <v>12</v>
      </c>
      <c r="E106" s="54">
        <v>79145</v>
      </c>
      <c r="F106" s="55">
        <v>42729</v>
      </c>
      <c r="G106" s="56">
        <v>5</v>
      </c>
      <c r="H106" s="57" t="s">
        <v>18</v>
      </c>
      <c r="I106" s="58" t="s">
        <v>117</v>
      </c>
      <c r="J106" s="72" t="str">
        <f t="shared" si="1"/>
        <v>Normal</v>
      </c>
    </row>
    <row r="107" spans="1:10">
      <c r="A107" s="52" t="s">
        <v>214</v>
      </c>
      <c r="B107" s="67" t="s">
        <v>30</v>
      </c>
      <c r="C107" s="53" t="s">
        <v>12</v>
      </c>
      <c r="D107" s="53" t="s">
        <v>63</v>
      </c>
      <c r="E107" s="54">
        <v>61556</v>
      </c>
      <c r="F107" s="55">
        <v>42736</v>
      </c>
      <c r="G107" s="56">
        <v>1</v>
      </c>
      <c r="H107" s="57" t="s">
        <v>12</v>
      </c>
      <c r="I107" s="58" t="s">
        <v>209</v>
      </c>
      <c r="J107" s="72" t="str">
        <f t="shared" si="1"/>
        <v>Normal</v>
      </c>
    </row>
    <row r="108" spans="1:10">
      <c r="A108" s="52" t="s">
        <v>215</v>
      </c>
      <c r="B108" s="53" t="s">
        <v>12</v>
      </c>
      <c r="C108" s="53" t="s">
        <v>16</v>
      </c>
      <c r="D108" s="53" t="s">
        <v>46</v>
      </c>
      <c r="E108" s="54">
        <v>87963</v>
      </c>
      <c r="F108" s="55">
        <v>42743</v>
      </c>
      <c r="G108" s="56">
        <v>3</v>
      </c>
      <c r="H108" s="57" t="s">
        <v>18</v>
      </c>
      <c r="I108" s="58" t="s">
        <v>12</v>
      </c>
      <c r="J108" s="72" t="str">
        <f t="shared" si="1"/>
        <v>High Salary</v>
      </c>
    </row>
    <row r="109" spans="1:10">
      <c r="A109" s="52" t="s">
        <v>216</v>
      </c>
      <c r="B109" s="53" t="s">
        <v>15</v>
      </c>
      <c r="C109" s="53" t="s">
        <v>33</v>
      </c>
      <c r="D109" s="53" t="s">
        <v>12</v>
      </c>
      <c r="E109" s="54">
        <v>48325</v>
      </c>
      <c r="F109" s="55">
        <v>42750</v>
      </c>
      <c r="G109" s="56">
        <v>2.8947368421052633</v>
      </c>
      <c r="H109" s="57" t="s">
        <v>27</v>
      </c>
      <c r="I109" s="58" t="s">
        <v>217</v>
      </c>
      <c r="J109" s="72" t="str">
        <f t="shared" si="1"/>
        <v>Normal</v>
      </c>
    </row>
    <row r="110" spans="1:10">
      <c r="A110" s="52" t="s">
        <v>218</v>
      </c>
      <c r="B110" s="53" t="s">
        <v>38</v>
      </c>
      <c r="C110" s="53" t="s">
        <v>41</v>
      </c>
      <c r="D110" s="53" t="s">
        <v>63</v>
      </c>
      <c r="E110" s="54">
        <v>86412</v>
      </c>
      <c r="F110" s="55">
        <v>42757</v>
      </c>
      <c r="G110" s="56">
        <v>2</v>
      </c>
      <c r="H110" s="57" t="s">
        <v>35</v>
      </c>
      <c r="I110" s="58" t="s">
        <v>74</v>
      </c>
      <c r="J110" s="72" t="str">
        <f t="shared" si="1"/>
        <v>High Salary</v>
      </c>
    </row>
    <row r="111" spans="1:10">
      <c r="A111" s="52" t="s">
        <v>219</v>
      </c>
      <c r="B111" s="53" t="s">
        <v>38</v>
      </c>
      <c r="C111" s="53" t="s">
        <v>16</v>
      </c>
      <c r="D111" s="53" t="s">
        <v>12</v>
      </c>
      <c r="E111" s="54">
        <v>66761</v>
      </c>
      <c r="F111" s="55">
        <v>42764</v>
      </c>
      <c r="G111" s="56">
        <v>1</v>
      </c>
      <c r="H111" s="57" t="s">
        <v>12</v>
      </c>
      <c r="I111" s="58" t="s">
        <v>220</v>
      </c>
      <c r="J111" s="72" t="str">
        <f t="shared" si="1"/>
        <v>Normal</v>
      </c>
    </row>
    <row r="112" spans="1:10">
      <c r="A112" s="52" t="s">
        <v>221</v>
      </c>
      <c r="B112" s="67" t="s">
        <v>30</v>
      </c>
      <c r="C112" s="53" t="s">
        <v>12</v>
      </c>
      <c r="D112" s="53" t="s">
        <v>34</v>
      </c>
      <c r="E112" s="54">
        <v>88850</v>
      </c>
      <c r="F112" s="55">
        <v>42771</v>
      </c>
      <c r="G112" s="56">
        <v>1</v>
      </c>
      <c r="H112" s="57" t="s">
        <v>35</v>
      </c>
      <c r="I112" s="58" t="s">
        <v>222</v>
      </c>
      <c r="J112" s="72" t="str">
        <f t="shared" si="1"/>
        <v>High Salary</v>
      </c>
    </row>
    <row r="113" spans="1:10">
      <c r="A113" s="52" t="s">
        <v>223</v>
      </c>
      <c r="B113" s="53" t="s">
        <v>40</v>
      </c>
      <c r="C113" s="53" t="s">
        <v>25</v>
      </c>
      <c r="D113" s="53" t="s">
        <v>34</v>
      </c>
      <c r="E113" s="54">
        <v>31293</v>
      </c>
      <c r="F113" s="55" t="s">
        <v>12</v>
      </c>
      <c r="G113" s="56">
        <v>2</v>
      </c>
      <c r="H113" s="57" t="s">
        <v>35</v>
      </c>
      <c r="I113" s="58" t="s">
        <v>224</v>
      </c>
      <c r="J113" s="72" t="str">
        <f t="shared" si="1"/>
        <v>Normal</v>
      </c>
    </row>
    <row r="114" spans="1:10">
      <c r="A114" s="52" t="s">
        <v>225</v>
      </c>
      <c r="B114" s="53" t="s">
        <v>40</v>
      </c>
      <c r="C114" s="53" t="s">
        <v>33</v>
      </c>
      <c r="D114" s="53" t="s">
        <v>26</v>
      </c>
      <c r="E114" s="54">
        <v>34306</v>
      </c>
      <c r="F114" s="55">
        <v>42785</v>
      </c>
      <c r="G114" s="56">
        <v>5</v>
      </c>
      <c r="H114" s="57" t="s">
        <v>35</v>
      </c>
      <c r="I114" s="58" t="s">
        <v>156</v>
      </c>
      <c r="J114" s="72" t="str">
        <f t="shared" si="1"/>
        <v>Normal</v>
      </c>
    </row>
    <row r="115" spans="1:10">
      <c r="A115" s="52" t="s">
        <v>226</v>
      </c>
      <c r="B115" s="53" t="s">
        <v>15</v>
      </c>
      <c r="C115" s="53" t="s">
        <v>10</v>
      </c>
      <c r="D115" s="53" t="s">
        <v>34</v>
      </c>
      <c r="E115" s="54">
        <v>78330</v>
      </c>
      <c r="F115" s="55">
        <v>42792</v>
      </c>
      <c r="G115" s="56">
        <v>3</v>
      </c>
      <c r="H115" s="57" t="s">
        <v>18</v>
      </c>
      <c r="I115" s="58" t="s">
        <v>207</v>
      </c>
      <c r="J115" s="72" t="str">
        <f t="shared" si="1"/>
        <v>Normal</v>
      </c>
    </row>
    <row r="116" spans="1:10">
      <c r="A116" s="52" t="s">
        <v>227</v>
      </c>
      <c r="B116" s="53" t="s">
        <v>21</v>
      </c>
      <c r="C116" s="53" t="s">
        <v>33</v>
      </c>
      <c r="D116" s="53" t="s">
        <v>26</v>
      </c>
      <c r="E116" s="54">
        <v>47653</v>
      </c>
      <c r="F116" s="55">
        <v>42799</v>
      </c>
      <c r="G116" s="56">
        <v>1</v>
      </c>
      <c r="H116" s="57" t="s">
        <v>27</v>
      </c>
      <c r="I116" s="58" t="s">
        <v>228</v>
      </c>
      <c r="J116" s="72" t="str">
        <f t="shared" si="1"/>
        <v>Normal</v>
      </c>
    </row>
    <row r="117" spans="1:10">
      <c r="A117" s="52" t="s">
        <v>229</v>
      </c>
      <c r="B117" s="53" t="s">
        <v>15</v>
      </c>
      <c r="C117" s="53" t="s">
        <v>41</v>
      </c>
      <c r="D117" s="53" t="s">
        <v>46</v>
      </c>
      <c r="E117" s="54">
        <v>44627</v>
      </c>
      <c r="F117" s="55">
        <v>42806</v>
      </c>
      <c r="G117" s="56">
        <v>4</v>
      </c>
      <c r="H117" s="57" t="s">
        <v>12</v>
      </c>
      <c r="I117" s="58" t="s">
        <v>148</v>
      </c>
      <c r="J117" s="72" t="str">
        <f t="shared" si="1"/>
        <v>Normal</v>
      </c>
    </row>
    <row r="118" spans="1:10">
      <c r="A118" s="52" t="s">
        <v>230</v>
      </c>
      <c r="B118" s="53" t="s">
        <v>53</v>
      </c>
      <c r="C118" s="53" t="s">
        <v>16</v>
      </c>
      <c r="D118" s="53" t="s">
        <v>17</v>
      </c>
      <c r="E118" s="54">
        <v>92343</v>
      </c>
      <c r="F118" s="55">
        <v>42813</v>
      </c>
      <c r="G118" s="56">
        <v>4</v>
      </c>
      <c r="H118" s="57" t="s">
        <v>35</v>
      </c>
      <c r="I118" s="58" t="s">
        <v>76</v>
      </c>
      <c r="J118" s="72" t="str">
        <f t="shared" si="1"/>
        <v>High Salary</v>
      </c>
    </row>
    <row r="119" spans="1:10">
      <c r="A119" s="52" t="s">
        <v>231</v>
      </c>
      <c r="B119" s="53" t="s">
        <v>53</v>
      </c>
      <c r="C119" s="53" t="s">
        <v>41</v>
      </c>
      <c r="D119" s="53" t="s">
        <v>63</v>
      </c>
      <c r="E119" s="54">
        <v>38837</v>
      </c>
      <c r="F119" s="55">
        <v>42820</v>
      </c>
      <c r="G119" s="56">
        <v>5</v>
      </c>
      <c r="H119" s="57" t="s">
        <v>35</v>
      </c>
      <c r="I119" s="58" t="s">
        <v>156</v>
      </c>
      <c r="J119" s="72" t="str">
        <f t="shared" si="1"/>
        <v>Normal</v>
      </c>
    </row>
    <row r="120" spans="1:10">
      <c r="A120" s="52" t="s">
        <v>232</v>
      </c>
      <c r="B120" s="53" t="s">
        <v>53</v>
      </c>
      <c r="C120" s="67" t="s">
        <v>41</v>
      </c>
      <c r="D120" s="53" t="s">
        <v>12</v>
      </c>
      <c r="E120" s="54">
        <v>73483</v>
      </c>
      <c r="F120" s="55">
        <v>42827</v>
      </c>
      <c r="G120" s="56">
        <v>1</v>
      </c>
      <c r="H120" s="57" t="s">
        <v>12</v>
      </c>
      <c r="I120" s="58" t="s">
        <v>233</v>
      </c>
      <c r="J120" s="72" t="str">
        <f t="shared" si="1"/>
        <v>Normal</v>
      </c>
    </row>
    <row r="121" spans="1:10">
      <c r="A121" s="52" t="s">
        <v>234</v>
      </c>
      <c r="B121" s="53" t="s">
        <v>40</v>
      </c>
      <c r="C121" s="53" t="s">
        <v>25</v>
      </c>
      <c r="D121" s="53" t="s">
        <v>34</v>
      </c>
      <c r="E121" s="54">
        <v>95032</v>
      </c>
      <c r="F121" s="55">
        <v>42834</v>
      </c>
      <c r="G121" s="56">
        <v>3</v>
      </c>
      <c r="H121" s="57" t="s">
        <v>12</v>
      </c>
      <c r="I121" s="58" t="s">
        <v>235</v>
      </c>
      <c r="J121" s="72" t="str">
        <f t="shared" si="1"/>
        <v>High Salary</v>
      </c>
    </row>
    <row r="122" spans="1:10">
      <c r="A122" s="52" t="s">
        <v>236</v>
      </c>
      <c r="B122" s="53" t="s">
        <v>15</v>
      </c>
      <c r="C122" s="53" t="s">
        <v>25</v>
      </c>
      <c r="D122" s="53" t="s">
        <v>63</v>
      </c>
      <c r="E122" s="54">
        <v>44358</v>
      </c>
      <c r="F122" s="55">
        <v>42841</v>
      </c>
      <c r="G122" s="56">
        <v>3</v>
      </c>
      <c r="H122" s="57" t="s">
        <v>35</v>
      </c>
      <c r="I122" s="58" t="s">
        <v>70</v>
      </c>
      <c r="J122" s="72" t="str">
        <f t="shared" si="1"/>
        <v>Normal</v>
      </c>
    </row>
    <row r="123" spans="1:10">
      <c r="A123" s="52" t="s">
        <v>237</v>
      </c>
      <c r="B123" s="53" t="s">
        <v>12</v>
      </c>
      <c r="C123" s="53" t="s">
        <v>33</v>
      </c>
      <c r="D123" s="53" t="s">
        <v>26</v>
      </c>
      <c r="E123" s="54">
        <v>63232.928571428572</v>
      </c>
      <c r="F123" s="55" t="s">
        <v>12</v>
      </c>
      <c r="G123" s="56">
        <v>5</v>
      </c>
      <c r="H123" s="57" t="s">
        <v>12</v>
      </c>
      <c r="I123" s="58" t="s">
        <v>238</v>
      </c>
      <c r="J123" s="72" t="str">
        <f t="shared" si="1"/>
        <v>Normal</v>
      </c>
    </row>
    <row r="124" spans="1:10">
      <c r="A124" s="52" t="s">
        <v>239</v>
      </c>
      <c r="B124" s="53" t="s">
        <v>40</v>
      </c>
      <c r="C124" s="53" t="s">
        <v>25</v>
      </c>
      <c r="D124" s="53" t="s">
        <v>26</v>
      </c>
      <c r="E124" s="54">
        <v>45676</v>
      </c>
      <c r="F124" s="55">
        <v>42855</v>
      </c>
      <c r="G124" s="56">
        <v>2</v>
      </c>
      <c r="H124" s="57" t="s">
        <v>12</v>
      </c>
      <c r="I124" s="58" t="s">
        <v>240</v>
      </c>
      <c r="J124" s="72" t="str">
        <f t="shared" si="1"/>
        <v>Normal</v>
      </c>
    </row>
    <row r="125" spans="1:10">
      <c r="A125" s="52" t="s">
        <v>241</v>
      </c>
      <c r="B125" s="53" t="s">
        <v>53</v>
      </c>
      <c r="C125" s="53" t="s">
        <v>25</v>
      </c>
      <c r="D125" s="53" t="s">
        <v>17</v>
      </c>
      <c r="E125" s="54">
        <v>52036</v>
      </c>
      <c r="F125" s="55">
        <v>42862</v>
      </c>
      <c r="G125" s="56">
        <v>3</v>
      </c>
      <c r="H125" s="57" t="s">
        <v>27</v>
      </c>
      <c r="I125" s="58" t="s">
        <v>242</v>
      </c>
      <c r="J125" s="72" t="str">
        <f t="shared" si="1"/>
        <v>Normal</v>
      </c>
    </row>
    <row r="126" spans="1:10">
      <c r="A126" s="52" t="s">
        <v>243</v>
      </c>
      <c r="B126" s="67" t="s">
        <v>30</v>
      </c>
      <c r="C126" s="53" t="s">
        <v>12</v>
      </c>
      <c r="D126" s="53" t="s">
        <v>17</v>
      </c>
      <c r="E126" s="54">
        <v>30357</v>
      </c>
      <c r="F126" s="55">
        <v>42869</v>
      </c>
      <c r="G126" s="56">
        <v>5</v>
      </c>
      <c r="H126" s="57" t="s">
        <v>27</v>
      </c>
      <c r="I126" s="58" t="s">
        <v>181</v>
      </c>
      <c r="J126" s="72" t="str">
        <f t="shared" si="1"/>
        <v>Normal</v>
      </c>
    </row>
    <row r="127" spans="1:10">
      <c r="A127" s="52" t="s">
        <v>244</v>
      </c>
      <c r="B127" s="53" t="s">
        <v>24</v>
      </c>
      <c r="C127" s="53" t="s">
        <v>33</v>
      </c>
      <c r="D127" s="53" t="s">
        <v>12</v>
      </c>
      <c r="E127" s="54">
        <v>60034</v>
      </c>
      <c r="F127" s="55">
        <v>42876</v>
      </c>
      <c r="G127" s="56">
        <v>1</v>
      </c>
      <c r="H127" s="57" t="s">
        <v>35</v>
      </c>
      <c r="I127" s="58" t="s">
        <v>245</v>
      </c>
      <c r="J127" s="72" t="str">
        <f t="shared" si="1"/>
        <v>Normal</v>
      </c>
    </row>
    <row r="128" spans="1:10">
      <c r="A128" s="52" t="s">
        <v>246</v>
      </c>
      <c r="B128" s="53" t="s">
        <v>24</v>
      </c>
      <c r="C128" s="53" t="s">
        <v>10</v>
      </c>
      <c r="D128" s="53" t="s">
        <v>12</v>
      </c>
      <c r="E128" s="54">
        <v>90019</v>
      </c>
      <c r="F128" s="55">
        <v>42883</v>
      </c>
      <c r="G128" s="56">
        <v>5</v>
      </c>
      <c r="H128" s="57" t="s">
        <v>12</v>
      </c>
      <c r="I128" s="58" t="s">
        <v>247</v>
      </c>
      <c r="J128" s="72" t="str">
        <f t="shared" si="1"/>
        <v>High Salary</v>
      </c>
    </row>
    <row r="129" spans="1:10">
      <c r="A129" s="52" t="s">
        <v>248</v>
      </c>
      <c r="B129" s="67" t="s">
        <v>53</v>
      </c>
      <c r="C129" s="53" t="s">
        <v>12</v>
      </c>
      <c r="D129" s="53" t="s">
        <v>17</v>
      </c>
      <c r="E129" s="54">
        <v>71494</v>
      </c>
      <c r="F129" s="55">
        <v>42890</v>
      </c>
      <c r="G129" s="56">
        <v>3</v>
      </c>
      <c r="H129" s="57" t="s">
        <v>27</v>
      </c>
      <c r="I129" s="58" t="s">
        <v>249</v>
      </c>
      <c r="J129" s="72" t="str">
        <f t="shared" si="1"/>
        <v>Normal</v>
      </c>
    </row>
    <row r="130" spans="1:10">
      <c r="A130" s="52" t="s">
        <v>250</v>
      </c>
      <c r="B130" s="53" t="s">
        <v>24</v>
      </c>
      <c r="C130" s="53" t="s">
        <v>10</v>
      </c>
      <c r="D130" s="53" t="s">
        <v>26</v>
      </c>
      <c r="E130" s="54">
        <v>91953</v>
      </c>
      <c r="F130" s="55">
        <v>42897</v>
      </c>
      <c r="G130" s="56">
        <v>2</v>
      </c>
      <c r="H130" s="57" t="s">
        <v>27</v>
      </c>
      <c r="I130" s="58" t="s">
        <v>88</v>
      </c>
      <c r="J130" s="72" t="str">
        <f t="shared" si="1"/>
        <v>High Salary</v>
      </c>
    </row>
    <row r="131" spans="1:10">
      <c r="A131" s="52" t="s">
        <v>251</v>
      </c>
      <c r="B131" s="53" t="s">
        <v>40</v>
      </c>
      <c r="C131" s="53" t="s">
        <v>25</v>
      </c>
      <c r="D131" s="53" t="s">
        <v>26</v>
      </c>
      <c r="E131" s="54">
        <v>30402</v>
      </c>
      <c r="F131" s="55">
        <v>42904</v>
      </c>
      <c r="G131" s="56">
        <v>1</v>
      </c>
      <c r="H131" s="57" t="s">
        <v>12</v>
      </c>
      <c r="I131" s="58" t="s">
        <v>252</v>
      </c>
      <c r="J131" s="72" t="str">
        <f t="shared" si="1"/>
        <v>Normal</v>
      </c>
    </row>
    <row r="132" spans="1:10">
      <c r="A132" s="52" t="s">
        <v>253</v>
      </c>
      <c r="B132" s="67" t="s">
        <v>53</v>
      </c>
      <c r="C132" s="53" t="s">
        <v>12</v>
      </c>
      <c r="D132" s="53" t="s">
        <v>46</v>
      </c>
      <c r="E132" s="54">
        <v>62994</v>
      </c>
      <c r="F132" s="55">
        <v>42911</v>
      </c>
      <c r="G132" s="56">
        <v>3</v>
      </c>
      <c r="H132" s="57" t="s">
        <v>12</v>
      </c>
      <c r="I132" s="58" t="s">
        <v>113</v>
      </c>
      <c r="J132" s="72" t="str">
        <f t="shared" ref="J132:J152" si="2">IF(E132&gt;80000,"High Salary", "Normal")</f>
        <v>Normal</v>
      </c>
    </row>
    <row r="133" spans="1:10">
      <c r="A133" s="52" t="s">
        <v>254</v>
      </c>
      <c r="B133" s="53" t="s">
        <v>21</v>
      </c>
      <c r="C133" s="53" t="s">
        <v>25</v>
      </c>
      <c r="D133" s="53" t="s">
        <v>34</v>
      </c>
      <c r="E133" s="54">
        <v>48289</v>
      </c>
      <c r="F133" s="55" t="s">
        <v>12</v>
      </c>
      <c r="G133" s="56">
        <v>3</v>
      </c>
      <c r="H133" s="57" t="s">
        <v>27</v>
      </c>
      <c r="I133" s="58" t="s">
        <v>44</v>
      </c>
      <c r="J133" s="72" t="str">
        <f t="shared" si="2"/>
        <v>Normal</v>
      </c>
    </row>
    <row r="134" spans="1:10">
      <c r="A134" s="52" t="s">
        <v>255</v>
      </c>
      <c r="B134" s="53" t="s">
        <v>38</v>
      </c>
      <c r="C134" s="53" t="s">
        <v>41</v>
      </c>
      <c r="D134" s="53" t="s">
        <v>17</v>
      </c>
      <c r="E134" s="54">
        <v>34402</v>
      </c>
      <c r="F134" s="55">
        <v>42925</v>
      </c>
      <c r="G134" s="56">
        <v>3</v>
      </c>
      <c r="H134" s="57" t="s">
        <v>18</v>
      </c>
      <c r="I134" s="58" t="s">
        <v>107</v>
      </c>
      <c r="J134" s="72" t="str">
        <f t="shared" si="2"/>
        <v>Normal</v>
      </c>
    </row>
    <row r="135" spans="1:10">
      <c r="A135" s="52" t="s">
        <v>256</v>
      </c>
      <c r="B135" s="53" t="s">
        <v>15</v>
      </c>
      <c r="C135" s="53" t="s">
        <v>16</v>
      </c>
      <c r="D135" s="53" t="s">
        <v>26</v>
      </c>
      <c r="E135" s="54">
        <v>38678</v>
      </c>
      <c r="F135" s="55">
        <v>42932</v>
      </c>
      <c r="G135" s="56">
        <v>3</v>
      </c>
      <c r="H135" s="57" t="s">
        <v>18</v>
      </c>
      <c r="I135" s="58" t="s">
        <v>257</v>
      </c>
      <c r="J135" s="72" t="str">
        <f t="shared" si="2"/>
        <v>Normal</v>
      </c>
    </row>
    <row r="136" spans="1:10">
      <c r="A136" s="52" t="s">
        <v>258</v>
      </c>
      <c r="B136" s="53" t="s">
        <v>40</v>
      </c>
      <c r="C136" s="53" t="s">
        <v>16</v>
      </c>
      <c r="D136" s="53" t="s">
        <v>17</v>
      </c>
      <c r="E136" s="54">
        <v>45758</v>
      </c>
      <c r="F136" s="55">
        <v>42939</v>
      </c>
      <c r="G136" s="56">
        <v>3</v>
      </c>
      <c r="H136" s="57" t="s">
        <v>12</v>
      </c>
      <c r="I136" s="58" t="s">
        <v>224</v>
      </c>
      <c r="J136" s="72" t="str">
        <f t="shared" si="2"/>
        <v>Normal</v>
      </c>
    </row>
    <row r="137" spans="1:10">
      <c r="A137" s="52" t="s">
        <v>259</v>
      </c>
      <c r="B137" s="53" t="s">
        <v>15</v>
      </c>
      <c r="C137" s="53" t="s">
        <v>41</v>
      </c>
      <c r="D137" s="53" t="s">
        <v>34</v>
      </c>
      <c r="E137" s="54">
        <v>62476</v>
      </c>
      <c r="F137" s="55">
        <v>42946</v>
      </c>
      <c r="G137" s="56">
        <v>1</v>
      </c>
      <c r="H137" s="57" t="s">
        <v>18</v>
      </c>
      <c r="I137" s="58" t="s">
        <v>137</v>
      </c>
      <c r="J137" s="72" t="str">
        <f t="shared" si="2"/>
        <v>Normal</v>
      </c>
    </row>
    <row r="138" spans="1:10">
      <c r="A138" s="52" t="s">
        <v>260</v>
      </c>
      <c r="B138" s="53" t="s">
        <v>12</v>
      </c>
      <c r="C138" s="53" t="s">
        <v>33</v>
      </c>
      <c r="D138" s="53" t="s">
        <v>46</v>
      </c>
      <c r="E138" s="54">
        <v>39280</v>
      </c>
      <c r="F138" s="55">
        <v>42953</v>
      </c>
      <c r="G138" s="56">
        <v>3</v>
      </c>
      <c r="H138" s="57" t="s">
        <v>35</v>
      </c>
      <c r="I138" s="58" t="s">
        <v>98</v>
      </c>
      <c r="J138" s="72" t="str">
        <f t="shared" si="2"/>
        <v>Normal</v>
      </c>
    </row>
    <row r="139" spans="1:10">
      <c r="A139" s="52" t="s">
        <v>261</v>
      </c>
      <c r="B139" s="53" t="s">
        <v>30</v>
      </c>
      <c r="C139" s="53" t="s">
        <v>10</v>
      </c>
      <c r="D139" s="53" t="s">
        <v>34</v>
      </c>
      <c r="E139" s="54">
        <v>60335</v>
      </c>
      <c r="F139" s="55">
        <v>42960</v>
      </c>
      <c r="G139" s="56">
        <v>4</v>
      </c>
      <c r="H139" s="57" t="s">
        <v>18</v>
      </c>
      <c r="I139" s="58" t="s">
        <v>128</v>
      </c>
      <c r="J139" s="72" t="str">
        <f t="shared" si="2"/>
        <v>Normal</v>
      </c>
    </row>
    <row r="140" spans="1:10">
      <c r="A140" s="52" t="s">
        <v>262</v>
      </c>
      <c r="B140" s="53" t="s">
        <v>40</v>
      </c>
      <c r="C140" s="53" t="s">
        <v>16</v>
      </c>
      <c r="D140" s="53" t="s">
        <v>17</v>
      </c>
      <c r="E140" s="54">
        <v>84968</v>
      </c>
      <c r="F140" s="55">
        <v>42967</v>
      </c>
      <c r="G140" s="56">
        <v>3.0909090909090908</v>
      </c>
      <c r="H140" s="57" t="s">
        <v>12</v>
      </c>
      <c r="I140" s="58" t="s">
        <v>263</v>
      </c>
      <c r="J140" s="72" t="str">
        <f t="shared" si="2"/>
        <v>High Salary</v>
      </c>
    </row>
    <row r="141" spans="1:10">
      <c r="A141" s="52" t="s">
        <v>264</v>
      </c>
      <c r="B141" s="53" t="s">
        <v>40</v>
      </c>
      <c r="C141" s="53" t="s">
        <v>41</v>
      </c>
      <c r="D141" s="53" t="s">
        <v>63</v>
      </c>
      <c r="E141" s="54">
        <v>84750</v>
      </c>
      <c r="F141" s="55">
        <v>42974</v>
      </c>
      <c r="G141" s="56">
        <v>4</v>
      </c>
      <c r="H141" s="57" t="s">
        <v>35</v>
      </c>
      <c r="I141" s="58" t="s">
        <v>59</v>
      </c>
      <c r="J141" s="72" t="str">
        <f t="shared" si="2"/>
        <v>High Salary</v>
      </c>
    </row>
    <row r="142" spans="1:10">
      <c r="A142" s="52" t="s">
        <v>265</v>
      </c>
      <c r="B142" s="53" t="s">
        <v>53</v>
      </c>
      <c r="C142" s="53" t="s">
        <v>33</v>
      </c>
      <c r="D142" s="53" t="s">
        <v>12</v>
      </c>
      <c r="E142" s="54">
        <v>73348</v>
      </c>
      <c r="F142" s="55">
        <v>42981</v>
      </c>
      <c r="G142" s="56">
        <v>2</v>
      </c>
      <c r="H142" s="57" t="s">
        <v>12</v>
      </c>
      <c r="I142" s="58" t="s">
        <v>170</v>
      </c>
      <c r="J142" s="72" t="str">
        <f t="shared" si="2"/>
        <v>Normal</v>
      </c>
    </row>
    <row r="143" spans="1:10">
      <c r="A143" s="52" t="s">
        <v>266</v>
      </c>
      <c r="B143" s="53" t="s">
        <v>40</v>
      </c>
      <c r="C143" s="53" t="s">
        <v>25</v>
      </c>
      <c r="D143" s="53" t="s">
        <v>26</v>
      </c>
      <c r="E143" s="54">
        <v>73697</v>
      </c>
      <c r="F143" s="55">
        <v>42988</v>
      </c>
      <c r="G143" s="56">
        <v>4</v>
      </c>
      <c r="H143" s="57" t="s">
        <v>18</v>
      </c>
      <c r="I143" s="58" t="s">
        <v>12</v>
      </c>
      <c r="J143" s="72" t="str">
        <f t="shared" si="2"/>
        <v>Normal</v>
      </c>
    </row>
    <row r="144" spans="1:10">
      <c r="A144" s="52" t="s">
        <v>267</v>
      </c>
      <c r="B144" s="53" t="s">
        <v>30</v>
      </c>
      <c r="C144" s="53" t="s">
        <v>41</v>
      </c>
      <c r="D144" s="53" t="s">
        <v>26</v>
      </c>
      <c r="E144" s="54">
        <v>66882</v>
      </c>
      <c r="F144" s="55">
        <v>42995</v>
      </c>
      <c r="G144" s="56">
        <v>5</v>
      </c>
      <c r="H144" s="57" t="s">
        <v>18</v>
      </c>
      <c r="I144" s="58" t="s">
        <v>84</v>
      </c>
      <c r="J144" s="72" t="str">
        <f t="shared" si="2"/>
        <v>Normal</v>
      </c>
    </row>
    <row r="145" spans="1:10">
      <c r="A145" s="52" t="s">
        <v>268</v>
      </c>
      <c r="B145" s="53" t="s">
        <v>21</v>
      </c>
      <c r="C145" s="67" t="s">
        <v>41</v>
      </c>
      <c r="D145" s="53" t="s">
        <v>12</v>
      </c>
      <c r="E145" s="54">
        <v>86775</v>
      </c>
      <c r="F145" s="55">
        <v>43002</v>
      </c>
      <c r="G145" s="56">
        <v>3</v>
      </c>
      <c r="H145" s="57" t="s">
        <v>18</v>
      </c>
      <c r="I145" s="58" t="s">
        <v>94</v>
      </c>
      <c r="J145" s="72" t="str">
        <f t="shared" si="2"/>
        <v>High Salary</v>
      </c>
    </row>
    <row r="146" spans="1:10">
      <c r="A146" s="52" t="s">
        <v>269</v>
      </c>
      <c r="B146" s="53" t="s">
        <v>40</v>
      </c>
      <c r="C146" s="53" t="s">
        <v>25</v>
      </c>
      <c r="D146" s="53" t="s">
        <v>46</v>
      </c>
      <c r="E146" s="54">
        <v>91620</v>
      </c>
      <c r="F146" s="55">
        <v>43009</v>
      </c>
      <c r="G146" s="56">
        <v>2.6666666666666665</v>
      </c>
      <c r="H146" s="57" t="s">
        <v>12</v>
      </c>
      <c r="I146" s="58" t="s">
        <v>270</v>
      </c>
      <c r="J146" s="72" t="str">
        <f t="shared" si="2"/>
        <v>High Salary</v>
      </c>
    </row>
    <row r="147" spans="1:10">
      <c r="A147" s="52" t="s">
        <v>271</v>
      </c>
      <c r="B147" s="67" t="s">
        <v>15</v>
      </c>
      <c r="C147" s="53" t="s">
        <v>12</v>
      </c>
      <c r="D147" s="53" t="s">
        <v>12</v>
      </c>
      <c r="E147" s="54">
        <v>94148</v>
      </c>
      <c r="F147" s="55">
        <v>43016</v>
      </c>
      <c r="G147" s="56">
        <v>2</v>
      </c>
      <c r="H147" s="57" t="s">
        <v>12</v>
      </c>
      <c r="I147" s="58" t="s">
        <v>272</v>
      </c>
      <c r="J147" s="72" t="str">
        <f t="shared" si="2"/>
        <v>High Salary</v>
      </c>
    </row>
    <row r="148" spans="1:10">
      <c r="A148" s="52" t="s">
        <v>273</v>
      </c>
      <c r="B148" s="53" t="s">
        <v>38</v>
      </c>
      <c r="C148" s="53" t="s">
        <v>25</v>
      </c>
      <c r="D148" s="53" t="s">
        <v>63</v>
      </c>
      <c r="E148" s="54">
        <v>35627</v>
      </c>
      <c r="F148" s="55">
        <v>43023</v>
      </c>
      <c r="G148" s="56">
        <v>5</v>
      </c>
      <c r="H148" s="57" t="s">
        <v>35</v>
      </c>
      <c r="I148" s="58" t="s">
        <v>257</v>
      </c>
      <c r="J148" s="72" t="str">
        <f t="shared" si="2"/>
        <v>Normal</v>
      </c>
    </row>
    <row r="149" spans="1:10">
      <c r="A149" s="52" t="s">
        <v>274</v>
      </c>
      <c r="B149" s="53" t="s">
        <v>24</v>
      </c>
      <c r="C149" s="53" t="s">
        <v>41</v>
      </c>
      <c r="D149" s="53" t="s">
        <v>26</v>
      </c>
      <c r="E149" s="54">
        <v>57141</v>
      </c>
      <c r="F149" s="55">
        <v>43030</v>
      </c>
      <c r="G149" s="56">
        <v>2</v>
      </c>
      <c r="H149" s="57" t="s">
        <v>12</v>
      </c>
      <c r="I149" s="58" t="s">
        <v>263</v>
      </c>
      <c r="J149" s="72" t="str">
        <f t="shared" si="2"/>
        <v>Normal</v>
      </c>
    </row>
    <row r="150" spans="1:10">
      <c r="A150" s="52" t="s">
        <v>275</v>
      </c>
      <c r="B150" s="53" t="s">
        <v>53</v>
      </c>
      <c r="C150" s="53" t="s">
        <v>25</v>
      </c>
      <c r="D150" s="53" t="s">
        <v>63</v>
      </c>
      <c r="E150" s="54">
        <v>65270</v>
      </c>
      <c r="F150" s="55">
        <v>43037</v>
      </c>
      <c r="G150" s="56">
        <v>1</v>
      </c>
      <c r="H150" s="57" t="s">
        <v>12</v>
      </c>
      <c r="I150" s="58" t="s">
        <v>276</v>
      </c>
      <c r="J150" s="72" t="str">
        <f t="shared" si="2"/>
        <v>Normal</v>
      </c>
    </row>
    <row r="151" spans="1:10">
      <c r="A151" s="52" t="s">
        <v>277</v>
      </c>
      <c r="B151" s="67" t="s">
        <v>53</v>
      </c>
      <c r="C151" s="53" t="s">
        <v>12</v>
      </c>
      <c r="D151" s="53" t="s">
        <v>46</v>
      </c>
      <c r="E151" s="54">
        <v>67335</v>
      </c>
      <c r="F151" s="55">
        <v>43044</v>
      </c>
      <c r="G151" s="56">
        <v>1</v>
      </c>
      <c r="H151" s="57" t="s">
        <v>18</v>
      </c>
      <c r="I151" s="58" t="s">
        <v>143</v>
      </c>
      <c r="J151" s="72" t="str">
        <f t="shared" si="2"/>
        <v>Normal</v>
      </c>
    </row>
    <row r="152" spans="1:10">
      <c r="A152" s="52" t="s">
        <v>278</v>
      </c>
      <c r="B152" s="53" t="s">
        <v>38</v>
      </c>
      <c r="C152" s="53" t="s">
        <v>41</v>
      </c>
      <c r="D152" s="53" t="s">
        <v>34</v>
      </c>
      <c r="E152" s="54">
        <v>98475</v>
      </c>
      <c r="F152" s="55">
        <v>43051</v>
      </c>
      <c r="G152" s="56">
        <v>5</v>
      </c>
      <c r="H152" s="57" t="s">
        <v>18</v>
      </c>
      <c r="I152" s="58" t="s">
        <v>279</v>
      </c>
      <c r="J152" s="72" t="str">
        <f t="shared" si="2"/>
        <v>High Salary</v>
      </c>
    </row>
  </sheetData>
  <mergeCells count="1">
    <mergeCell ref="A1:Q1"/>
  </mergeCells>
  <conditionalFormatting sqref="D3:D152">
    <cfRule type="expression" dxfId="2506" priority="1">
      <formula>IF(D$2:D$152, "UK", D2)</formula>
    </cfRule>
    <cfRule type="expression" dxfId="2505" priority="2">
      <formula>D$3="UK"</formula>
    </cfRule>
    <cfRule type="expression" dxfId="2504" priority="3">
      <formula>"UK"</formula>
    </cfRule>
  </conditionalFormatting>
  <conditionalFormatting sqref="E3:E152">
    <cfRule type="colorScale" priority="4">
      <colorScale>
        <cfvo type="min"/>
        <cfvo type="num" val="60000"/>
        <cfvo type="max"/>
        <color rgb="FFF8696B"/>
        <color rgb="FFFFEB84"/>
        <color rgb="FF63BE7B"/>
      </colorScale>
    </cfRule>
    <cfRule type="cellIs" dxfId="2503" priority="6" operator="lessThan">
      <formula>30000</formula>
    </cfRule>
    <cfRule type="cellIs" dxfId="2502" priority="7" operator="lessThan">
      <formula>30000</formula>
    </cfRule>
    <cfRule type="cellIs" dxfId="2501" priority="10" operator="greaterThan">
      <formula>90000</formula>
    </cfRule>
  </conditionalFormatting>
  <conditionalFormatting sqref="G3:G152">
    <cfRule type="aboveAverage" dxfId="2500" priority="5" aboveAverage="0"/>
  </conditionalFormatting>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D80D4C-5092-42D7-B93C-B20C21811665}">
  <dimension ref="A1:P152"/>
  <sheetViews>
    <sheetView workbookViewId="0">
      <selection activeCell="J18" sqref="J18"/>
    </sheetView>
  </sheetViews>
  <sheetFormatPr defaultRowHeight="14.4"/>
  <cols>
    <col min="1" max="1" width="11" customWidth="1"/>
    <col min="2" max="2" width="14.21875" customWidth="1"/>
    <col min="3" max="3" width="11.6640625" customWidth="1"/>
    <col min="4" max="4" width="13.33203125" customWidth="1"/>
    <col min="5" max="5" width="11.88671875" customWidth="1"/>
    <col min="6" max="6" width="14.77734375" customWidth="1"/>
    <col min="9" max="9" width="24.109375" customWidth="1"/>
    <col min="10" max="10" width="16" customWidth="1"/>
    <col min="12" max="12" width="18.77734375" customWidth="1"/>
    <col min="13" max="13" width="20.5546875" customWidth="1"/>
  </cols>
  <sheetData>
    <row r="1" spans="1:16" ht="21">
      <c r="A1" s="175" t="s">
        <v>353</v>
      </c>
      <c r="B1" s="175"/>
      <c r="C1" s="175"/>
      <c r="D1" s="175"/>
      <c r="E1" s="175"/>
      <c r="F1" s="175"/>
      <c r="G1" s="175"/>
      <c r="H1" s="175"/>
      <c r="I1" s="175"/>
      <c r="J1" s="175"/>
      <c r="K1" s="175"/>
      <c r="L1" s="175"/>
      <c r="M1" s="175"/>
      <c r="N1" s="175"/>
      <c r="O1" s="175"/>
      <c r="P1" s="175"/>
    </row>
    <row r="2" spans="1:16" ht="15" thickBot="1">
      <c r="A2" s="45" t="s">
        <v>0</v>
      </c>
      <c r="B2" s="46" t="s">
        <v>1</v>
      </c>
      <c r="C2" s="46" t="s">
        <v>2</v>
      </c>
      <c r="D2" s="46" t="s">
        <v>3</v>
      </c>
      <c r="E2" s="47" t="s">
        <v>4</v>
      </c>
      <c r="F2" s="48" t="s">
        <v>5</v>
      </c>
      <c r="G2" s="49" t="s">
        <v>6</v>
      </c>
      <c r="H2" s="46" t="s">
        <v>7</v>
      </c>
      <c r="I2" s="50" t="s">
        <v>8</v>
      </c>
      <c r="J2" s="78" t="s">
        <v>287</v>
      </c>
    </row>
    <row r="3" spans="1:16">
      <c r="A3" s="52" t="s">
        <v>9</v>
      </c>
      <c r="B3" s="53" t="s">
        <v>12</v>
      </c>
      <c r="C3" s="53" t="s">
        <v>10</v>
      </c>
      <c r="D3" s="53" t="s">
        <v>12</v>
      </c>
      <c r="E3" s="54">
        <v>66280.929577464791</v>
      </c>
      <c r="F3" s="55" t="s">
        <v>12</v>
      </c>
      <c r="G3" s="56">
        <v>2</v>
      </c>
      <c r="H3" s="57" t="s">
        <v>12</v>
      </c>
      <c r="I3" s="58" t="s">
        <v>12</v>
      </c>
      <c r="J3" s="72" t="str">
        <f>IF(E3&gt;80000,"High Salary", "Normal")</f>
        <v>Normal</v>
      </c>
    </row>
    <row r="4" spans="1:16">
      <c r="A4" s="52" t="s">
        <v>14</v>
      </c>
      <c r="B4" s="53" t="s">
        <v>15</v>
      </c>
      <c r="C4" s="53" t="s">
        <v>16</v>
      </c>
      <c r="D4" s="53" t="s">
        <v>17</v>
      </c>
      <c r="E4" s="54">
        <v>54255</v>
      </c>
      <c r="F4" s="55">
        <v>42015</v>
      </c>
      <c r="G4" s="56">
        <v>1</v>
      </c>
      <c r="H4" s="57" t="s">
        <v>18</v>
      </c>
      <c r="I4" s="58" t="s">
        <v>19</v>
      </c>
      <c r="J4" s="72" t="str">
        <f t="shared" ref="J4:J67" si="0">IF(E4&gt;80000,"High Salary", "Normal")</f>
        <v>Normal</v>
      </c>
    </row>
    <row r="5" spans="1:16" ht="15.6">
      <c r="A5" s="52" t="s">
        <v>20</v>
      </c>
      <c r="B5" s="53" t="s">
        <v>21</v>
      </c>
      <c r="C5" s="53" t="s">
        <v>10</v>
      </c>
      <c r="D5" s="53" t="s">
        <v>17</v>
      </c>
      <c r="E5" s="54">
        <v>63184</v>
      </c>
      <c r="F5" s="55">
        <v>42022</v>
      </c>
      <c r="G5" s="56">
        <v>2</v>
      </c>
      <c r="H5" s="57" t="s">
        <v>12</v>
      </c>
      <c r="I5" s="58" t="s">
        <v>22</v>
      </c>
      <c r="J5" s="72" t="str">
        <f t="shared" si="0"/>
        <v>Normal</v>
      </c>
      <c r="L5" s="193" t="s">
        <v>352</v>
      </c>
      <c r="M5" s="194"/>
    </row>
    <row r="6" spans="1:16">
      <c r="A6" s="52" t="s">
        <v>23</v>
      </c>
      <c r="B6" s="53" t="s">
        <v>24</v>
      </c>
      <c r="C6" s="53" t="s">
        <v>25</v>
      </c>
      <c r="D6" s="53" t="s">
        <v>26</v>
      </c>
      <c r="E6" s="54">
        <v>94406</v>
      </c>
      <c r="F6" s="55">
        <v>42029</v>
      </c>
      <c r="G6" s="56">
        <v>1</v>
      </c>
      <c r="H6" s="57" t="s">
        <v>27</v>
      </c>
      <c r="I6" s="58" t="s">
        <v>28</v>
      </c>
      <c r="J6" s="72" t="str">
        <f t="shared" si="0"/>
        <v>High Salary</v>
      </c>
      <c r="L6" s="107"/>
      <c r="M6" s="109"/>
    </row>
    <row r="7" spans="1:16">
      <c r="A7" s="52" t="s">
        <v>29</v>
      </c>
      <c r="B7" s="53" t="s">
        <v>30</v>
      </c>
      <c r="C7" s="53" t="s">
        <v>25</v>
      </c>
      <c r="D7" s="53" t="s">
        <v>17</v>
      </c>
      <c r="E7" s="54">
        <v>64120</v>
      </c>
      <c r="F7" s="55">
        <v>42036</v>
      </c>
      <c r="G7" s="56">
        <v>1</v>
      </c>
      <c r="H7" s="57" t="s">
        <v>27</v>
      </c>
      <c r="I7" s="58" t="s">
        <v>31</v>
      </c>
      <c r="J7" s="72" t="str">
        <f t="shared" si="0"/>
        <v>Normal</v>
      </c>
      <c r="L7" s="107" t="s">
        <v>342</v>
      </c>
      <c r="M7" s="109">
        <v>66241.935591179383</v>
      </c>
    </row>
    <row r="8" spans="1:16">
      <c r="A8" s="52" t="s">
        <v>32</v>
      </c>
      <c r="B8" s="53" t="s">
        <v>21</v>
      </c>
      <c r="C8" s="53" t="s">
        <v>33</v>
      </c>
      <c r="D8" s="53" t="s">
        <v>34</v>
      </c>
      <c r="E8" s="54">
        <v>78421</v>
      </c>
      <c r="F8" s="55">
        <v>42043</v>
      </c>
      <c r="G8" s="56">
        <v>2</v>
      </c>
      <c r="H8" s="57" t="s">
        <v>35</v>
      </c>
      <c r="I8" s="58" t="s">
        <v>36</v>
      </c>
      <c r="J8" s="72" t="str">
        <f t="shared" si="0"/>
        <v>Normal</v>
      </c>
      <c r="L8" s="107" t="s">
        <v>343</v>
      </c>
      <c r="M8" s="109">
        <v>1730.9413092321138</v>
      </c>
    </row>
    <row r="9" spans="1:16">
      <c r="A9" s="52" t="s">
        <v>37</v>
      </c>
      <c r="B9" s="53" t="s">
        <v>38</v>
      </c>
      <c r="C9" s="53" t="s">
        <v>25</v>
      </c>
      <c r="D9" s="53" t="s">
        <v>12</v>
      </c>
      <c r="E9" s="54">
        <v>67721</v>
      </c>
      <c r="F9" s="55">
        <v>42050</v>
      </c>
      <c r="G9" s="56">
        <v>2.9411764705882355</v>
      </c>
      <c r="H9" s="57" t="s">
        <v>27</v>
      </c>
      <c r="I9" s="58" t="s">
        <v>28</v>
      </c>
      <c r="J9" s="72" t="str">
        <f t="shared" si="0"/>
        <v>Normal</v>
      </c>
      <c r="L9" s="107" t="s">
        <v>344</v>
      </c>
      <c r="M9" s="109">
        <v>66079</v>
      </c>
    </row>
    <row r="10" spans="1:16">
      <c r="A10" s="52" t="s">
        <v>39</v>
      </c>
      <c r="B10" s="53" t="s">
        <v>40</v>
      </c>
      <c r="C10" s="67" t="s">
        <v>41</v>
      </c>
      <c r="D10" s="53" t="s">
        <v>12</v>
      </c>
      <c r="E10" s="54">
        <v>35364</v>
      </c>
      <c r="F10" s="55">
        <v>42057</v>
      </c>
      <c r="G10" s="56">
        <v>2</v>
      </c>
      <c r="H10" s="57" t="s">
        <v>18</v>
      </c>
      <c r="I10" s="58" t="s">
        <v>42</v>
      </c>
      <c r="J10" s="72" t="str">
        <f t="shared" si="0"/>
        <v>Normal</v>
      </c>
      <c r="L10" s="107" t="s">
        <v>345</v>
      </c>
      <c r="M10" s="109" t="e">
        <v>#N/A</v>
      </c>
    </row>
    <row r="11" spans="1:16">
      <c r="A11" s="52" t="s">
        <v>43</v>
      </c>
      <c r="B11" s="53" t="s">
        <v>21</v>
      </c>
      <c r="C11" s="53" t="s">
        <v>33</v>
      </c>
      <c r="D11" s="53" t="s">
        <v>17</v>
      </c>
      <c r="E11" s="54">
        <v>97881</v>
      </c>
      <c r="F11" s="55">
        <v>42064</v>
      </c>
      <c r="G11" s="56">
        <v>2.9491525423728815</v>
      </c>
      <c r="H11" s="57" t="s">
        <v>35</v>
      </c>
      <c r="I11" s="58" t="s">
        <v>44</v>
      </c>
      <c r="J11" s="72" t="str">
        <f t="shared" si="0"/>
        <v>High Salary</v>
      </c>
      <c r="L11" s="107" t="s">
        <v>346</v>
      </c>
      <c r="M11" s="109">
        <v>21128.831358712705</v>
      </c>
    </row>
    <row r="12" spans="1:16">
      <c r="A12" s="52" t="s">
        <v>45</v>
      </c>
      <c r="B12" s="53" t="s">
        <v>40</v>
      </c>
      <c r="C12" s="53" t="s">
        <v>16</v>
      </c>
      <c r="D12" s="53" t="s">
        <v>46</v>
      </c>
      <c r="E12" s="54">
        <v>91846</v>
      </c>
      <c r="F12" s="55">
        <v>42071</v>
      </c>
      <c r="G12" s="56">
        <v>2.9491525423728815</v>
      </c>
      <c r="H12" s="57" t="s">
        <v>27</v>
      </c>
      <c r="I12" s="58" t="s">
        <v>47</v>
      </c>
      <c r="J12" s="72" t="str">
        <f t="shared" si="0"/>
        <v>High Salary</v>
      </c>
      <c r="L12" s="107" t="s">
        <v>347</v>
      </c>
      <c r="M12" s="109">
        <v>446427514.58492136</v>
      </c>
    </row>
    <row r="13" spans="1:16">
      <c r="A13" s="52" t="s">
        <v>48</v>
      </c>
      <c r="B13" s="53" t="s">
        <v>38</v>
      </c>
      <c r="C13" s="53" t="s">
        <v>10</v>
      </c>
      <c r="D13" s="53" t="s">
        <v>46</v>
      </c>
      <c r="E13" s="54">
        <v>64247</v>
      </c>
      <c r="F13" s="55">
        <v>42078</v>
      </c>
      <c r="G13" s="56">
        <v>1</v>
      </c>
      <c r="H13" s="57" t="s">
        <v>35</v>
      </c>
      <c r="I13" s="58" t="s">
        <v>49</v>
      </c>
      <c r="J13" s="72" t="str">
        <f t="shared" si="0"/>
        <v>Normal</v>
      </c>
      <c r="L13" s="107" t="s">
        <v>348</v>
      </c>
      <c r="M13" s="109">
        <v>-1.2055214386507584</v>
      </c>
    </row>
    <row r="14" spans="1:16">
      <c r="A14" s="52" t="s">
        <v>50</v>
      </c>
      <c r="B14" s="53" t="s">
        <v>38</v>
      </c>
      <c r="C14" s="53" t="s">
        <v>33</v>
      </c>
      <c r="D14" s="53" t="s">
        <v>26</v>
      </c>
      <c r="E14" s="54">
        <v>91180</v>
      </c>
      <c r="F14" s="55">
        <v>42085</v>
      </c>
      <c r="G14" s="56">
        <v>5</v>
      </c>
      <c r="H14" s="57" t="s">
        <v>27</v>
      </c>
      <c r="I14" s="58" t="s">
        <v>51</v>
      </c>
      <c r="J14" s="72" t="str">
        <f t="shared" si="0"/>
        <v>High Salary</v>
      </c>
      <c r="L14" s="107" t="s">
        <v>349</v>
      </c>
      <c r="M14" s="109">
        <v>-0.11522986922814128</v>
      </c>
    </row>
    <row r="15" spans="1:16">
      <c r="A15" s="52" t="s">
        <v>52</v>
      </c>
      <c r="B15" s="53" t="s">
        <v>53</v>
      </c>
      <c r="C15" s="53" t="s">
        <v>25</v>
      </c>
      <c r="D15" s="53" t="s">
        <v>12</v>
      </c>
      <c r="E15" s="54">
        <v>96418</v>
      </c>
      <c r="F15" s="55">
        <v>42092</v>
      </c>
      <c r="G15" s="56">
        <v>5</v>
      </c>
      <c r="H15" s="57" t="s">
        <v>27</v>
      </c>
      <c r="I15" s="58" t="s">
        <v>19</v>
      </c>
      <c r="J15" s="72" t="str">
        <f t="shared" si="0"/>
        <v>High Salary</v>
      </c>
      <c r="L15" s="107" t="s">
        <v>350</v>
      </c>
      <c r="M15" s="109">
        <v>69341</v>
      </c>
    </row>
    <row r="16" spans="1:16">
      <c r="A16" s="52" t="s">
        <v>54</v>
      </c>
      <c r="B16" s="67" t="s">
        <v>38</v>
      </c>
      <c r="C16" s="53" t="s">
        <v>12</v>
      </c>
      <c r="D16" s="53" t="s">
        <v>34</v>
      </c>
      <c r="E16" s="54">
        <v>62158</v>
      </c>
      <c r="F16" s="55">
        <v>42099</v>
      </c>
      <c r="G16" s="56">
        <v>4</v>
      </c>
      <c r="H16" s="57" t="s">
        <v>12</v>
      </c>
      <c r="I16" s="58" t="s">
        <v>55</v>
      </c>
      <c r="J16" s="72" t="str">
        <f t="shared" si="0"/>
        <v>Normal</v>
      </c>
      <c r="L16" s="107" t="s">
        <v>284</v>
      </c>
      <c r="M16" s="109">
        <v>30280</v>
      </c>
    </row>
    <row r="17" spans="1:13">
      <c r="A17" s="52" t="s">
        <v>56</v>
      </c>
      <c r="B17" s="53" t="s">
        <v>30</v>
      </c>
      <c r="C17" s="53" t="s">
        <v>16</v>
      </c>
      <c r="D17" s="53" t="s">
        <v>12</v>
      </c>
      <c r="E17" s="54">
        <v>59894</v>
      </c>
      <c r="F17" s="55">
        <v>42106</v>
      </c>
      <c r="G17" s="56">
        <v>2</v>
      </c>
      <c r="H17" s="57" t="s">
        <v>27</v>
      </c>
      <c r="I17" s="58" t="s">
        <v>57</v>
      </c>
      <c r="J17" s="72" t="str">
        <f t="shared" si="0"/>
        <v>Normal</v>
      </c>
      <c r="L17" s="107" t="s">
        <v>285</v>
      </c>
      <c r="M17" s="109">
        <v>99621</v>
      </c>
    </row>
    <row r="18" spans="1:13">
      <c r="A18" s="52" t="s">
        <v>58</v>
      </c>
      <c r="B18" s="53" t="s">
        <v>12</v>
      </c>
      <c r="C18" s="53" t="s">
        <v>33</v>
      </c>
      <c r="D18" s="53" t="s">
        <v>34</v>
      </c>
      <c r="E18" s="54">
        <v>92443</v>
      </c>
      <c r="F18" s="55">
        <v>42113</v>
      </c>
      <c r="G18" s="56">
        <v>3</v>
      </c>
      <c r="H18" s="57" t="s">
        <v>18</v>
      </c>
      <c r="I18" s="58" t="s">
        <v>59</v>
      </c>
      <c r="J18" s="72" t="str">
        <f t="shared" si="0"/>
        <v>High Salary</v>
      </c>
      <c r="L18" s="107" t="s">
        <v>351</v>
      </c>
      <c r="M18" s="110">
        <v>9870048.4030857272</v>
      </c>
    </row>
    <row r="19" spans="1:13">
      <c r="A19" s="52" t="s">
        <v>60</v>
      </c>
      <c r="B19" s="67" t="s">
        <v>53</v>
      </c>
      <c r="C19" s="53" t="s">
        <v>12</v>
      </c>
      <c r="D19" s="53" t="s">
        <v>17</v>
      </c>
      <c r="E19" s="54">
        <v>90271</v>
      </c>
      <c r="F19" s="55">
        <v>42120</v>
      </c>
      <c r="G19" s="56">
        <v>2.9285714285714284</v>
      </c>
      <c r="H19" s="57" t="s">
        <v>12</v>
      </c>
      <c r="I19" s="58" t="s">
        <v>61</v>
      </c>
      <c r="J19" s="72" t="str">
        <f t="shared" si="0"/>
        <v>High Salary</v>
      </c>
      <c r="L19" s="107" t="s">
        <v>286</v>
      </c>
      <c r="M19" s="109">
        <v>149</v>
      </c>
    </row>
    <row r="20" spans="1:13">
      <c r="A20" s="52" t="s">
        <v>62</v>
      </c>
      <c r="B20" s="53" t="s">
        <v>30</v>
      </c>
      <c r="C20" s="53" t="s">
        <v>10</v>
      </c>
      <c r="D20" s="53" t="s">
        <v>63</v>
      </c>
      <c r="E20" s="54">
        <v>41341</v>
      </c>
      <c r="F20" s="55">
        <v>42127</v>
      </c>
      <c r="G20" s="56">
        <v>1</v>
      </c>
      <c r="H20" s="57" t="s">
        <v>18</v>
      </c>
      <c r="I20" s="58" t="s">
        <v>64</v>
      </c>
      <c r="J20" s="72" t="str">
        <f t="shared" si="0"/>
        <v>Normal</v>
      </c>
    </row>
    <row r="21" spans="1:13">
      <c r="A21" s="52" t="s">
        <v>65</v>
      </c>
      <c r="B21" s="53" t="s">
        <v>21</v>
      </c>
      <c r="C21" s="53" t="s">
        <v>10</v>
      </c>
      <c r="D21" s="53" t="s">
        <v>46</v>
      </c>
      <c r="E21" s="54">
        <v>73602</v>
      </c>
      <c r="F21" s="55">
        <v>42134</v>
      </c>
      <c r="G21" s="56">
        <v>2.9459459459459461</v>
      </c>
      <c r="H21" s="57" t="s">
        <v>12</v>
      </c>
      <c r="I21" s="58" t="s">
        <v>66</v>
      </c>
      <c r="J21" s="72" t="str">
        <f t="shared" si="0"/>
        <v>Normal</v>
      </c>
    </row>
    <row r="22" spans="1:13">
      <c r="A22" s="52" t="s">
        <v>67</v>
      </c>
      <c r="B22" s="67" t="s">
        <v>15</v>
      </c>
      <c r="C22" s="53" t="s">
        <v>12</v>
      </c>
      <c r="D22" s="53" t="s">
        <v>34</v>
      </c>
      <c r="E22" s="54">
        <v>67531</v>
      </c>
      <c r="F22" s="55">
        <v>42141</v>
      </c>
      <c r="G22" s="56">
        <v>5</v>
      </c>
      <c r="H22" s="57" t="s">
        <v>35</v>
      </c>
      <c r="I22" s="58" t="s">
        <v>68</v>
      </c>
      <c r="J22" s="72" t="str">
        <f t="shared" si="0"/>
        <v>Normal</v>
      </c>
    </row>
    <row r="23" spans="1:13">
      <c r="A23" s="52" t="s">
        <v>69</v>
      </c>
      <c r="B23" s="53" t="s">
        <v>30</v>
      </c>
      <c r="C23" s="53" t="s">
        <v>16</v>
      </c>
      <c r="D23" s="53" t="s">
        <v>26</v>
      </c>
      <c r="E23" s="54">
        <v>65248.853658536587</v>
      </c>
      <c r="F23" s="55">
        <v>42148</v>
      </c>
      <c r="G23" s="56">
        <v>2</v>
      </c>
      <c r="H23" s="57" t="s">
        <v>18</v>
      </c>
      <c r="I23" s="58" t="s">
        <v>70</v>
      </c>
      <c r="J23" s="72" t="str">
        <f t="shared" si="0"/>
        <v>Normal</v>
      </c>
    </row>
    <row r="24" spans="1:13">
      <c r="A24" s="52" t="s">
        <v>71</v>
      </c>
      <c r="B24" s="53" t="s">
        <v>30</v>
      </c>
      <c r="C24" s="53" t="s">
        <v>16</v>
      </c>
      <c r="D24" s="53" t="s">
        <v>12</v>
      </c>
      <c r="E24" s="54">
        <v>98922</v>
      </c>
      <c r="F24" s="55">
        <v>42155</v>
      </c>
      <c r="G24" s="56">
        <v>4</v>
      </c>
      <c r="H24" s="57" t="s">
        <v>12</v>
      </c>
      <c r="I24" s="58" t="s">
        <v>72</v>
      </c>
      <c r="J24" s="72" t="str">
        <f t="shared" si="0"/>
        <v>High Salary</v>
      </c>
    </row>
    <row r="25" spans="1:13">
      <c r="A25" s="52" t="s">
        <v>73</v>
      </c>
      <c r="B25" s="53" t="s">
        <v>15</v>
      </c>
      <c r="C25" s="53" t="s">
        <v>10</v>
      </c>
      <c r="D25" s="53" t="s">
        <v>34</v>
      </c>
      <c r="E25" s="54">
        <v>38333</v>
      </c>
      <c r="F25" s="55">
        <v>42162</v>
      </c>
      <c r="G25" s="56">
        <v>5</v>
      </c>
      <c r="H25" s="57" t="s">
        <v>12</v>
      </c>
      <c r="I25" s="58" t="s">
        <v>74</v>
      </c>
      <c r="J25" s="72" t="str">
        <f t="shared" si="0"/>
        <v>Normal</v>
      </c>
    </row>
    <row r="26" spans="1:13">
      <c r="A26" s="52" t="s">
        <v>75</v>
      </c>
      <c r="B26" s="53" t="s">
        <v>21</v>
      </c>
      <c r="C26" s="53" t="s">
        <v>41</v>
      </c>
      <c r="D26" s="53" t="s">
        <v>46</v>
      </c>
      <c r="E26" s="54">
        <v>36515</v>
      </c>
      <c r="F26" s="55">
        <v>42169</v>
      </c>
      <c r="G26" s="56">
        <v>3</v>
      </c>
      <c r="H26" s="57" t="s">
        <v>27</v>
      </c>
      <c r="I26" s="58" t="s">
        <v>76</v>
      </c>
      <c r="J26" s="72" t="str">
        <f t="shared" si="0"/>
        <v>Normal</v>
      </c>
    </row>
    <row r="27" spans="1:13">
      <c r="A27" s="52" t="s">
        <v>77</v>
      </c>
      <c r="B27" s="53" t="s">
        <v>38</v>
      </c>
      <c r="C27" s="53" t="s">
        <v>10</v>
      </c>
      <c r="D27" s="53" t="s">
        <v>12</v>
      </c>
      <c r="E27" s="54">
        <v>91005</v>
      </c>
      <c r="F27" s="55">
        <v>42176</v>
      </c>
      <c r="G27" s="56">
        <v>1</v>
      </c>
      <c r="H27" s="57" t="s">
        <v>18</v>
      </c>
      <c r="I27" s="58" t="s">
        <v>78</v>
      </c>
      <c r="J27" s="72" t="str">
        <f t="shared" si="0"/>
        <v>High Salary</v>
      </c>
    </row>
    <row r="28" spans="1:13">
      <c r="A28" s="52" t="s">
        <v>79</v>
      </c>
      <c r="B28" s="53" t="s">
        <v>40</v>
      </c>
      <c r="C28" s="53" t="s">
        <v>12</v>
      </c>
      <c r="D28" s="53" t="s">
        <v>12</v>
      </c>
      <c r="E28" s="54">
        <v>52272</v>
      </c>
      <c r="F28" s="55">
        <v>42183</v>
      </c>
      <c r="G28" s="56">
        <v>3</v>
      </c>
      <c r="H28" s="57" t="s">
        <v>12</v>
      </c>
      <c r="I28" s="58" t="s">
        <v>80</v>
      </c>
      <c r="J28" s="72" t="str">
        <f t="shared" si="0"/>
        <v>Normal</v>
      </c>
    </row>
    <row r="29" spans="1:13">
      <c r="A29" s="52" t="s">
        <v>81</v>
      </c>
      <c r="B29" s="53" t="s">
        <v>15</v>
      </c>
      <c r="C29" s="53" t="s">
        <v>25</v>
      </c>
      <c r="D29" s="53" t="s">
        <v>17</v>
      </c>
      <c r="E29" s="54">
        <v>76518</v>
      </c>
      <c r="F29" s="55">
        <v>42190</v>
      </c>
      <c r="G29" s="56">
        <v>2</v>
      </c>
      <c r="H29" s="57" t="s">
        <v>35</v>
      </c>
      <c r="I29" s="58" t="s">
        <v>82</v>
      </c>
      <c r="J29" s="72" t="str">
        <f t="shared" si="0"/>
        <v>Normal</v>
      </c>
    </row>
    <row r="30" spans="1:13">
      <c r="A30" s="52" t="s">
        <v>83</v>
      </c>
      <c r="B30" s="53" t="s">
        <v>21</v>
      </c>
      <c r="C30" s="53" t="s">
        <v>33</v>
      </c>
      <c r="D30" s="53" t="s">
        <v>46</v>
      </c>
      <c r="E30" s="54">
        <v>41448</v>
      </c>
      <c r="F30" s="55">
        <v>42197</v>
      </c>
      <c r="G30" s="56">
        <v>3</v>
      </c>
      <c r="H30" s="57" t="s">
        <v>18</v>
      </c>
      <c r="I30" s="58" t="s">
        <v>84</v>
      </c>
      <c r="J30" s="72" t="str">
        <f t="shared" si="0"/>
        <v>Normal</v>
      </c>
    </row>
    <row r="31" spans="1:13">
      <c r="A31" s="52" t="s">
        <v>85</v>
      </c>
      <c r="B31" s="53" t="s">
        <v>24</v>
      </c>
      <c r="C31" s="53" t="s">
        <v>16</v>
      </c>
      <c r="D31" s="53" t="s">
        <v>46</v>
      </c>
      <c r="E31" s="54">
        <v>49282</v>
      </c>
      <c r="F31" s="55">
        <v>42204</v>
      </c>
      <c r="G31" s="56">
        <v>2</v>
      </c>
      <c r="H31" s="57" t="s">
        <v>35</v>
      </c>
      <c r="I31" s="58" t="s">
        <v>86</v>
      </c>
      <c r="J31" s="72" t="str">
        <f t="shared" si="0"/>
        <v>Normal</v>
      </c>
    </row>
    <row r="32" spans="1:13">
      <c r="A32" s="52" t="s">
        <v>87</v>
      </c>
      <c r="B32" s="53" t="s">
        <v>53</v>
      </c>
      <c r="C32" s="53" t="s">
        <v>41</v>
      </c>
      <c r="D32" s="53" t="s">
        <v>46</v>
      </c>
      <c r="E32" s="54">
        <v>92959</v>
      </c>
      <c r="F32" s="55">
        <v>42211</v>
      </c>
      <c r="G32" s="56">
        <v>5</v>
      </c>
      <c r="H32" s="57" t="s">
        <v>12</v>
      </c>
      <c r="I32" s="58" t="s">
        <v>88</v>
      </c>
      <c r="J32" s="72" t="str">
        <f t="shared" si="0"/>
        <v>High Salary</v>
      </c>
    </row>
    <row r="33" spans="1:10">
      <c r="A33" s="52" t="s">
        <v>89</v>
      </c>
      <c r="B33" s="53" t="s">
        <v>12</v>
      </c>
      <c r="C33" s="67" t="s">
        <v>41</v>
      </c>
      <c r="D33" s="53" t="s">
        <v>12</v>
      </c>
      <c r="E33" s="54">
        <v>92259</v>
      </c>
      <c r="F33" s="55" t="s">
        <v>12</v>
      </c>
      <c r="G33" s="56">
        <v>1</v>
      </c>
      <c r="H33" s="57" t="s">
        <v>12</v>
      </c>
      <c r="I33" s="58" t="s">
        <v>90</v>
      </c>
      <c r="J33" s="72" t="str">
        <f t="shared" si="0"/>
        <v>High Salary</v>
      </c>
    </row>
    <row r="34" spans="1:10">
      <c r="A34" s="52" t="s">
        <v>91</v>
      </c>
      <c r="B34" s="53" t="s">
        <v>15</v>
      </c>
      <c r="C34" s="53" t="s">
        <v>16</v>
      </c>
      <c r="D34" s="53" t="s">
        <v>17</v>
      </c>
      <c r="E34" s="54">
        <v>92299</v>
      </c>
      <c r="F34" s="55">
        <v>42225</v>
      </c>
      <c r="G34" s="56">
        <v>3</v>
      </c>
      <c r="H34" s="57" t="s">
        <v>27</v>
      </c>
      <c r="I34" s="58" t="s">
        <v>92</v>
      </c>
      <c r="J34" s="72" t="str">
        <f t="shared" si="0"/>
        <v>High Salary</v>
      </c>
    </row>
    <row r="35" spans="1:10">
      <c r="A35" s="52" t="s">
        <v>93</v>
      </c>
      <c r="B35" s="53" t="s">
        <v>38</v>
      </c>
      <c r="C35" s="53" t="s">
        <v>16</v>
      </c>
      <c r="D35" s="53" t="s">
        <v>12</v>
      </c>
      <c r="E35" s="54">
        <v>95586</v>
      </c>
      <c r="F35" s="55">
        <v>42232</v>
      </c>
      <c r="G35" s="56">
        <v>3</v>
      </c>
      <c r="H35" s="57" t="s">
        <v>18</v>
      </c>
      <c r="I35" s="58" t="s">
        <v>94</v>
      </c>
      <c r="J35" s="72" t="str">
        <f t="shared" si="0"/>
        <v>High Salary</v>
      </c>
    </row>
    <row r="36" spans="1:10">
      <c r="A36" s="52" t="s">
        <v>95</v>
      </c>
      <c r="B36" s="53" t="s">
        <v>40</v>
      </c>
      <c r="C36" s="53" t="s">
        <v>12</v>
      </c>
      <c r="D36" s="53" t="s">
        <v>26</v>
      </c>
      <c r="E36" s="54">
        <v>95367</v>
      </c>
      <c r="F36" s="55">
        <v>42239</v>
      </c>
      <c r="G36" s="56">
        <v>2.9381443298969074</v>
      </c>
      <c r="H36" s="57" t="s">
        <v>27</v>
      </c>
      <c r="I36" s="58" t="s">
        <v>96</v>
      </c>
      <c r="J36" s="72" t="str">
        <f t="shared" si="0"/>
        <v>High Salary</v>
      </c>
    </row>
    <row r="37" spans="1:10">
      <c r="A37" s="52" t="s">
        <v>97</v>
      </c>
      <c r="B37" s="53" t="s">
        <v>24</v>
      </c>
      <c r="C37" s="53" t="s">
        <v>25</v>
      </c>
      <c r="D37" s="53" t="s">
        <v>63</v>
      </c>
      <c r="E37" s="54">
        <v>79549</v>
      </c>
      <c r="F37" s="55">
        <v>42246</v>
      </c>
      <c r="G37" s="56">
        <v>3</v>
      </c>
      <c r="H37" s="57" t="s">
        <v>12</v>
      </c>
      <c r="I37" s="58" t="s">
        <v>98</v>
      </c>
      <c r="J37" s="72" t="str">
        <f t="shared" si="0"/>
        <v>Normal</v>
      </c>
    </row>
    <row r="38" spans="1:10">
      <c r="A38" s="52" t="s">
        <v>99</v>
      </c>
      <c r="B38" s="67" t="s">
        <v>21</v>
      </c>
      <c r="C38" s="53" t="s">
        <v>12</v>
      </c>
      <c r="D38" s="53" t="s">
        <v>46</v>
      </c>
      <c r="E38" s="54">
        <v>54463</v>
      </c>
      <c r="F38" s="55">
        <v>42253</v>
      </c>
      <c r="G38" s="56">
        <v>4</v>
      </c>
      <c r="H38" s="57" t="s">
        <v>27</v>
      </c>
      <c r="I38" s="58" t="s">
        <v>12</v>
      </c>
      <c r="J38" s="72" t="str">
        <f t="shared" si="0"/>
        <v>Normal</v>
      </c>
    </row>
    <row r="39" spans="1:10">
      <c r="A39" s="52" t="s">
        <v>100</v>
      </c>
      <c r="B39" s="53" t="s">
        <v>21</v>
      </c>
      <c r="C39" s="53" t="s">
        <v>33</v>
      </c>
      <c r="D39" s="53" t="s">
        <v>26</v>
      </c>
      <c r="E39" s="54">
        <v>89781</v>
      </c>
      <c r="F39" s="55">
        <v>42260</v>
      </c>
      <c r="G39" s="56">
        <v>2.9263157894736844</v>
      </c>
      <c r="H39" s="57" t="s">
        <v>35</v>
      </c>
      <c r="I39" s="58" t="s">
        <v>101</v>
      </c>
      <c r="J39" s="72" t="str">
        <f t="shared" si="0"/>
        <v>High Salary</v>
      </c>
    </row>
    <row r="40" spans="1:10">
      <c r="A40" s="52" t="s">
        <v>102</v>
      </c>
      <c r="B40" s="53" t="s">
        <v>21</v>
      </c>
      <c r="C40" s="53" t="s">
        <v>16</v>
      </c>
      <c r="D40" s="53" t="s">
        <v>12</v>
      </c>
      <c r="E40" s="54">
        <v>64796</v>
      </c>
      <c r="F40" s="55">
        <v>42267</v>
      </c>
      <c r="G40" s="56">
        <v>2.9263157894736844</v>
      </c>
      <c r="H40" s="57" t="s">
        <v>18</v>
      </c>
      <c r="I40" s="58" t="s">
        <v>103</v>
      </c>
      <c r="J40" s="72" t="str">
        <f t="shared" si="0"/>
        <v>Normal</v>
      </c>
    </row>
    <row r="41" spans="1:10">
      <c r="A41" s="52" t="s">
        <v>104</v>
      </c>
      <c r="B41" s="53" t="s">
        <v>24</v>
      </c>
      <c r="C41" s="53" t="s">
        <v>41</v>
      </c>
      <c r="D41" s="53" t="s">
        <v>46</v>
      </c>
      <c r="E41" s="54">
        <v>52093</v>
      </c>
      <c r="F41" s="55">
        <v>42274</v>
      </c>
      <c r="G41" s="56">
        <v>5</v>
      </c>
      <c r="H41" s="57" t="s">
        <v>12</v>
      </c>
      <c r="I41" s="58" t="s">
        <v>105</v>
      </c>
      <c r="J41" s="72" t="str">
        <f t="shared" si="0"/>
        <v>Normal</v>
      </c>
    </row>
    <row r="42" spans="1:10">
      <c r="A42" s="52" t="s">
        <v>106</v>
      </c>
      <c r="B42" s="53" t="s">
        <v>40</v>
      </c>
      <c r="C42" s="53" t="s">
        <v>16</v>
      </c>
      <c r="D42" s="53" t="s">
        <v>46</v>
      </c>
      <c r="E42" s="54">
        <v>48224</v>
      </c>
      <c r="F42" s="55">
        <v>42281</v>
      </c>
      <c r="G42" s="56">
        <v>3</v>
      </c>
      <c r="H42" s="57" t="s">
        <v>12</v>
      </c>
      <c r="I42" s="58" t="s">
        <v>107</v>
      </c>
      <c r="J42" s="72" t="str">
        <f t="shared" si="0"/>
        <v>Normal</v>
      </c>
    </row>
    <row r="43" spans="1:10">
      <c r="A43" s="52" t="s">
        <v>108</v>
      </c>
      <c r="B43" s="53" t="s">
        <v>53</v>
      </c>
      <c r="C43" s="53" t="s">
        <v>10</v>
      </c>
      <c r="D43" s="53" t="s">
        <v>46</v>
      </c>
      <c r="E43" s="54">
        <v>64268.634615384617</v>
      </c>
      <c r="F43" s="55" t="s">
        <v>12</v>
      </c>
      <c r="G43" s="56">
        <v>4</v>
      </c>
      <c r="H43" s="57" t="s">
        <v>35</v>
      </c>
      <c r="I43" s="58" t="s">
        <v>109</v>
      </c>
      <c r="J43" s="72" t="str">
        <f t="shared" si="0"/>
        <v>Normal</v>
      </c>
    </row>
    <row r="44" spans="1:10">
      <c r="A44" s="52" t="s">
        <v>110</v>
      </c>
      <c r="B44" s="53" t="s">
        <v>21</v>
      </c>
      <c r="C44" s="53" t="s">
        <v>33</v>
      </c>
      <c r="D44" s="53" t="s">
        <v>17</v>
      </c>
      <c r="E44" s="54">
        <v>33956</v>
      </c>
      <c r="F44" s="55">
        <v>42295</v>
      </c>
      <c r="G44" s="56">
        <v>2.8913043478260869</v>
      </c>
      <c r="H44" s="57" t="s">
        <v>12</v>
      </c>
      <c r="I44" s="58" t="s">
        <v>111</v>
      </c>
      <c r="J44" s="72" t="str">
        <f t="shared" si="0"/>
        <v>Normal</v>
      </c>
    </row>
    <row r="45" spans="1:10">
      <c r="A45" s="52" t="s">
        <v>112</v>
      </c>
      <c r="B45" s="67" t="s">
        <v>53</v>
      </c>
      <c r="C45" s="53" t="s">
        <v>12</v>
      </c>
      <c r="D45" s="53" t="s">
        <v>63</v>
      </c>
      <c r="E45" s="54">
        <v>64913</v>
      </c>
      <c r="F45" s="55">
        <v>42302</v>
      </c>
      <c r="G45" s="56">
        <v>1</v>
      </c>
      <c r="H45" s="57" t="s">
        <v>35</v>
      </c>
      <c r="I45" s="58" t="s">
        <v>113</v>
      </c>
      <c r="J45" s="72" t="str">
        <f t="shared" si="0"/>
        <v>Normal</v>
      </c>
    </row>
    <row r="46" spans="1:10">
      <c r="A46" s="52" t="s">
        <v>114</v>
      </c>
      <c r="B46" s="53" t="s">
        <v>21</v>
      </c>
      <c r="C46" s="53" t="s">
        <v>41</v>
      </c>
      <c r="D46" s="53" t="s">
        <v>63</v>
      </c>
      <c r="E46" s="54">
        <v>35326</v>
      </c>
      <c r="F46" s="55">
        <v>42309</v>
      </c>
      <c r="G46" s="56">
        <v>2.912087912087912</v>
      </c>
      <c r="H46" s="57" t="s">
        <v>35</v>
      </c>
      <c r="I46" s="58" t="s">
        <v>115</v>
      </c>
      <c r="J46" s="72" t="str">
        <f t="shared" si="0"/>
        <v>Normal</v>
      </c>
    </row>
    <row r="47" spans="1:10">
      <c r="A47" s="52" t="s">
        <v>116</v>
      </c>
      <c r="B47" s="53" t="s">
        <v>40</v>
      </c>
      <c r="C47" s="53" t="s">
        <v>10</v>
      </c>
      <c r="D47" s="53" t="s">
        <v>12</v>
      </c>
      <c r="E47" s="54">
        <v>81610</v>
      </c>
      <c r="F47" s="55">
        <v>42316</v>
      </c>
      <c r="G47" s="56">
        <v>1</v>
      </c>
      <c r="H47" s="57" t="s">
        <v>12</v>
      </c>
      <c r="I47" s="58" t="s">
        <v>117</v>
      </c>
      <c r="J47" s="72" t="str">
        <f t="shared" si="0"/>
        <v>High Salary</v>
      </c>
    </row>
    <row r="48" spans="1:10">
      <c r="A48" s="52" t="s">
        <v>118</v>
      </c>
      <c r="B48" s="53" t="s">
        <v>12</v>
      </c>
      <c r="C48" s="53" t="s">
        <v>16</v>
      </c>
      <c r="D48" s="53" t="s">
        <v>12</v>
      </c>
      <c r="E48" s="54">
        <v>58962</v>
      </c>
      <c r="F48" s="55">
        <v>42323</v>
      </c>
      <c r="G48" s="56">
        <v>3</v>
      </c>
      <c r="H48" s="57" t="s">
        <v>18</v>
      </c>
      <c r="I48" s="58" t="s">
        <v>19</v>
      </c>
      <c r="J48" s="72" t="str">
        <f t="shared" si="0"/>
        <v>Normal</v>
      </c>
    </row>
    <row r="49" spans="1:10">
      <c r="A49" s="52" t="s">
        <v>119</v>
      </c>
      <c r="B49" s="53" t="s">
        <v>40</v>
      </c>
      <c r="C49" s="53" t="s">
        <v>33</v>
      </c>
      <c r="D49" s="53" t="s">
        <v>17</v>
      </c>
      <c r="E49" s="54">
        <v>92701</v>
      </c>
      <c r="F49" s="55">
        <v>42330</v>
      </c>
      <c r="G49" s="56">
        <v>3</v>
      </c>
      <c r="H49" s="57" t="s">
        <v>18</v>
      </c>
      <c r="I49" s="58" t="s">
        <v>120</v>
      </c>
      <c r="J49" s="72" t="str">
        <f t="shared" si="0"/>
        <v>High Salary</v>
      </c>
    </row>
    <row r="50" spans="1:10">
      <c r="A50" s="52" t="s">
        <v>121</v>
      </c>
      <c r="B50" s="53" t="s">
        <v>40</v>
      </c>
      <c r="C50" s="53" t="s">
        <v>16</v>
      </c>
      <c r="D50" s="53" t="s">
        <v>34</v>
      </c>
      <c r="E50" s="54">
        <v>58245</v>
      </c>
      <c r="F50" s="55">
        <v>42337</v>
      </c>
      <c r="G50" s="56">
        <v>4</v>
      </c>
      <c r="H50" s="57" t="s">
        <v>12</v>
      </c>
      <c r="I50" s="58" t="s">
        <v>122</v>
      </c>
      <c r="J50" s="72" t="str">
        <f t="shared" si="0"/>
        <v>Normal</v>
      </c>
    </row>
    <row r="51" spans="1:10">
      <c r="A51" s="52" t="s">
        <v>123</v>
      </c>
      <c r="B51" s="53" t="s">
        <v>24</v>
      </c>
      <c r="C51" s="53" t="s">
        <v>10</v>
      </c>
      <c r="D51" s="53" t="s">
        <v>12</v>
      </c>
      <c r="E51" s="54">
        <v>66513</v>
      </c>
      <c r="F51" s="55">
        <v>42344</v>
      </c>
      <c r="G51" s="56">
        <v>2</v>
      </c>
      <c r="H51" s="57" t="s">
        <v>18</v>
      </c>
      <c r="I51" s="58" t="s">
        <v>36</v>
      </c>
      <c r="J51" s="72" t="str">
        <f t="shared" si="0"/>
        <v>Normal</v>
      </c>
    </row>
    <row r="52" spans="1:10">
      <c r="A52" s="52" t="s">
        <v>124</v>
      </c>
      <c r="B52" s="53" t="s">
        <v>15</v>
      </c>
      <c r="C52" s="53" t="s">
        <v>16</v>
      </c>
      <c r="D52" s="53" t="s">
        <v>17</v>
      </c>
      <c r="E52" s="54">
        <v>78720</v>
      </c>
      <c r="F52" s="55">
        <v>42351</v>
      </c>
      <c r="G52" s="56">
        <v>5</v>
      </c>
      <c r="H52" s="57" t="s">
        <v>35</v>
      </c>
      <c r="I52" s="58" t="s">
        <v>109</v>
      </c>
      <c r="J52" s="72" t="str">
        <f t="shared" si="0"/>
        <v>Normal</v>
      </c>
    </row>
    <row r="53" spans="1:10">
      <c r="A53" s="52" t="s">
        <v>125</v>
      </c>
      <c r="B53" s="53" t="s">
        <v>40</v>
      </c>
      <c r="C53" s="53" t="s">
        <v>12</v>
      </c>
      <c r="D53" s="53" t="s">
        <v>12</v>
      </c>
      <c r="E53" s="54">
        <v>30686</v>
      </c>
      <c r="F53" s="55" t="s">
        <v>12</v>
      </c>
      <c r="G53" s="56">
        <v>2</v>
      </c>
      <c r="H53" s="57" t="s">
        <v>35</v>
      </c>
      <c r="I53" s="58" t="s">
        <v>126</v>
      </c>
      <c r="J53" s="72" t="str">
        <f t="shared" si="0"/>
        <v>Normal</v>
      </c>
    </row>
    <row r="54" spans="1:10">
      <c r="A54" s="52" t="s">
        <v>127</v>
      </c>
      <c r="B54" s="53" t="s">
        <v>38</v>
      </c>
      <c r="C54" s="53" t="s">
        <v>25</v>
      </c>
      <c r="D54" s="53" t="s">
        <v>34</v>
      </c>
      <c r="E54" s="54">
        <v>39423</v>
      </c>
      <c r="F54" s="55">
        <v>42365</v>
      </c>
      <c r="G54" s="56">
        <v>5</v>
      </c>
      <c r="H54" s="57" t="s">
        <v>12</v>
      </c>
      <c r="I54" s="58" t="s">
        <v>128</v>
      </c>
      <c r="J54" s="72" t="str">
        <f t="shared" si="0"/>
        <v>Normal</v>
      </c>
    </row>
    <row r="55" spans="1:10">
      <c r="A55" s="52" t="s">
        <v>129</v>
      </c>
      <c r="B55" s="53" t="s">
        <v>15</v>
      </c>
      <c r="C55" s="67" t="s">
        <v>41</v>
      </c>
      <c r="D55" s="53" t="s">
        <v>12</v>
      </c>
      <c r="E55" s="54">
        <v>30280</v>
      </c>
      <c r="F55" s="55">
        <v>42372</v>
      </c>
      <c r="G55" s="56">
        <v>1</v>
      </c>
      <c r="H55" s="57" t="s">
        <v>12</v>
      </c>
      <c r="I55" s="58" t="s">
        <v>130</v>
      </c>
      <c r="J55" s="72" t="str">
        <f t="shared" si="0"/>
        <v>Normal</v>
      </c>
    </row>
    <row r="56" spans="1:10">
      <c r="A56" s="52" t="s">
        <v>131</v>
      </c>
      <c r="B56" s="53" t="s">
        <v>15</v>
      </c>
      <c r="C56" s="53" t="s">
        <v>10</v>
      </c>
      <c r="D56" s="53" t="s">
        <v>46</v>
      </c>
      <c r="E56" s="54">
        <v>33352</v>
      </c>
      <c r="F56" s="55">
        <v>42379</v>
      </c>
      <c r="G56" s="56">
        <v>3</v>
      </c>
      <c r="H56" s="57" t="s">
        <v>35</v>
      </c>
      <c r="I56" s="58" t="s">
        <v>70</v>
      </c>
      <c r="J56" s="72" t="str">
        <f t="shared" si="0"/>
        <v>Normal</v>
      </c>
    </row>
    <row r="57" spans="1:10">
      <c r="A57" s="52" t="s">
        <v>132</v>
      </c>
      <c r="B57" s="53" t="s">
        <v>53</v>
      </c>
      <c r="C57" s="53" t="s">
        <v>41</v>
      </c>
      <c r="D57" s="53" t="s">
        <v>46</v>
      </c>
      <c r="E57" s="54">
        <v>75633</v>
      </c>
      <c r="F57" s="55">
        <v>42386</v>
      </c>
      <c r="G57" s="56">
        <v>5</v>
      </c>
      <c r="H57" s="57" t="s">
        <v>18</v>
      </c>
      <c r="I57" s="58" t="s">
        <v>133</v>
      </c>
      <c r="J57" s="72" t="str">
        <f t="shared" si="0"/>
        <v>Normal</v>
      </c>
    </row>
    <row r="58" spans="1:10">
      <c r="A58" s="52" t="s">
        <v>134</v>
      </c>
      <c r="B58" s="53" t="s">
        <v>40</v>
      </c>
      <c r="C58" s="53" t="s">
        <v>12</v>
      </c>
      <c r="D58" s="53" t="s">
        <v>26</v>
      </c>
      <c r="E58" s="54">
        <v>74815</v>
      </c>
      <c r="F58" s="55">
        <v>42393</v>
      </c>
      <c r="G58" s="56">
        <v>5</v>
      </c>
      <c r="H58" s="57" t="s">
        <v>35</v>
      </c>
      <c r="I58" s="58" t="s">
        <v>135</v>
      </c>
      <c r="J58" s="72" t="str">
        <f t="shared" si="0"/>
        <v>Normal</v>
      </c>
    </row>
    <row r="59" spans="1:10">
      <c r="A59" s="52" t="s">
        <v>136</v>
      </c>
      <c r="B59" s="53" t="s">
        <v>24</v>
      </c>
      <c r="C59" s="53" t="s">
        <v>25</v>
      </c>
      <c r="D59" s="53" t="s">
        <v>63</v>
      </c>
      <c r="E59" s="54">
        <v>60011</v>
      </c>
      <c r="F59" s="55">
        <v>42400</v>
      </c>
      <c r="G59" s="56">
        <v>1</v>
      </c>
      <c r="H59" s="57" t="s">
        <v>27</v>
      </c>
      <c r="I59" s="58" t="s">
        <v>137</v>
      </c>
      <c r="J59" s="72" t="str">
        <f t="shared" si="0"/>
        <v>Normal</v>
      </c>
    </row>
    <row r="60" spans="1:10">
      <c r="A60" s="52" t="s">
        <v>138</v>
      </c>
      <c r="B60" s="67" t="s">
        <v>15</v>
      </c>
      <c r="C60" s="53" t="s">
        <v>12</v>
      </c>
      <c r="D60" s="53" t="s">
        <v>34</v>
      </c>
      <c r="E60" s="54">
        <v>96949</v>
      </c>
      <c r="F60" s="55">
        <v>42407</v>
      </c>
      <c r="G60" s="56">
        <v>3</v>
      </c>
      <c r="H60" s="57" t="s">
        <v>12</v>
      </c>
      <c r="I60" s="58" t="s">
        <v>84</v>
      </c>
      <c r="J60" s="72" t="str">
        <f t="shared" si="0"/>
        <v>High Salary</v>
      </c>
    </row>
    <row r="61" spans="1:10">
      <c r="A61" s="52" t="s">
        <v>139</v>
      </c>
      <c r="B61" s="53" t="s">
        <v>38</v>
      </c>
      <c r="C61" s="67" t="s">
        <v>41</v>
      </c>
      <c r="D61" s="53" t="s">
        <v>12</v>
      </c>
      <c r="E61" s="54">
        <v>84924</v>
      </c>
      <c r="F61" s="55">
        <v>42414</v>
      </c>
      <c r="G61" s="56">
        <v>5</v>
      </c>
      <c r="H61" s="57" t="s">
        <v>27</v>
      </c>
      <c r="I61" s="58" t="s">
        <v>140</v>
      </c>
      <c r="J61" s="72" t="str">
        <f t="shared" si="0"/>
        <v>High Salary</v>
      </c>
    </row>
    <row r="62" spans="1:10">
      <c r="A62" s="52" t="s">
        <v>141</v>
      </c>
      <c r="B62" s="53" t="s">
        <v>38</v>
      </c>
      <c r="C62" s="53" t="s">
        <v>10</v>
      </c>
      <c r="D62" s="53" t="s">
        <v>26</v>
      </c>
      <c r="E62" s="54">
        <v>82033</v>
      </c>
      <c r="F62" s="55">
        <v>42421</v>
      </c>
      <c r="G62" s="56">
        <v>1</v>
      </c>
      <c r="H62" s="57" t="s">
        <v>12</v>
      </c>
      <c r="I62" s="58" t="s">
        <v>117</v>
      </c>
      <c r="J62" s="72" t="str">
        <f t="shared" si="0"/>
        <v>High Salary</v>
      </c>
    </row>
    <row r="63" spans="1:10">
      <c r="A63" s="52" t="s">
        <v>142</v>
      </c>
      <c r="B63" s="53" t="s">
        <v>12</v>
      </c>
      <c r="C63" s="53" t="s">
        <v>41</v>
      </c>
      <c r="D63" s="53" t="s">
        <v>17</v>
      </c>
      <c r="E63" s="54">
        <v>64763.364705882355</v>
      </c>
      <c r="F63" s="55" t="s">
        <v>12</v>
      </c>
      <c r="G63" s="56">
        <v>5</v>
      </c>
      <c r="H63" s="57" t="s">
        <v>12</v>
      </c>
      <c r="I63" s="58" t="s">
        <v>143</v>
      </c>
      <c r="J63" s="72" t="str">
        <f t="shared" si="0"/>
        <v>Normal</v>
      </c>
    </row>
    <row r="64" spans="1:10">
      <c r="A64" s="52" t="s">
        <v>144</v>
      </c>
      <c r="B64" s="67" t="s">
        <v>15</v>
      </c>
      <c r="C64" s="53" t="s">
        <v>12</v>
      </c>
      <c r="D64" s="53" t="s">
        <v>63</v>
      </c>
      <c r="E64" s="54">
        <v>31499</v>
      </c>
      <c r="F64" s="55">
        <v>42435</v>
      </c>
      <c r="G64" s="56">
        <v>2</v>
      </c>
      <c r="H64" s="57" t="s">
        <v>12</v>
      </c>
      <c r="I64" s="58" t="s">
        <v>101</v>
      </c>
      <c r="J64" s="72" t="str">
        <f t="shared" si="0"/>
        <v>Normal</v>
      </c>
    </row>
    <row r="65" spans="1:10">
      <c r="A65" s="52" t="s">
        <v>145</v>
      </c>
      <c r="B65" s="53" t="s">
        <v>40</v>
      </c>
      <c r="C65" s="53" t="s">
        <v>33</v>
      </c>
      <c r="D65" s="53" t="s">
        <v>46</v>
      </c>
      <c r="E65" s="54">
        <v>97981</v>
      </c>
      <c r="F65" s="55">
        <v>42442</v>
      </c>
      <c r="G65" s="56">
        <v>5</v>
      </c>
      <c r="H65" s="57" t="s">
        <v>35</v>
      </c>
      <c r="I65" s="58" t="s">
        <v>146</v>
      </c>
      <c r="J65" s="72" t="str">
        <f t="shared" si="0"/>
        <v>High Salary</v>
      </c>
    </row>
    <row r="66" spans="1:10">
      <c r="A66" s="52" t="s">
        <v>147</v>
      </c>
      <c r="B66" s="53" t="s">
        <v>15</v>
      </c>
      <c r="C66" s="53" t="s">
        <v>16</v>
      </c>
      <c r="D66" s="53" t="s">
        <v>26</v>
      </c>
      <c r="E66" s="54">
        <v>36541</v>
      </c>
      <c r="F66" s="55">
        <v>42449</v>
      </c>
      <c r="G66" s="56">
        <v>2</v>
      </c>
      <c r="H66" s="57" t="s">
        <v>18</v>
      </c>
      <c r="I66" s="58" t="s">
        <v>148</v>
      </c>
      <c r="J66" s="72" t="str">
        <f t="shared" si="0"/>
        <v>Normal</v>
      </c>
    </row>
    <row r="67" spans="1:10">
      <c r="A67" s="52" t="s">
        <v>149</v>
      </c>
      <c r="B67" s="53" t="s">
        <v>24</v>
      </c>
      <c r="C67" s="53" t="s">
        <v>33</v>
      </c>
      <c r="D67" s="53" t="s">
        <v>34</v>
      </c>
      <c r="E67" s="54">
        <v>84737</v>
      </c>
      <c r="F67" s="55">
        <v>42456</v>
      </c>
      <c r="G67" s="56">
        <v>1</v>
      </c>
      <c r="H67" s="57" t="s">
        <v>27</v>
      </c>
      <c r="I67" s="58" t="s">
        <v>150</v>
      </c>
      <c r="J67" s="72" t="str">
        <f t="shared" si="0"/>
        <v>High Salary</v>
      </c>
    </row>
    <row r="68" spans="1:10">
      <c r="A68" s="52" t="s">
        <v>151</v>
      </c>
      <c r="B68" s="53" t="s">
        <v>38</v>
      </c>
      <c r="C68" s="53" t="s">
        <v>10</v>
      </c>
      <c r="D68" s="53" t="s">
        <v>34</v>
      </c>
      <c r="E68" s="54">
        <v>33468</v>
      </c>
      <c r="F68" s="55">
        <v>42463</v>
      </c>
      <c r="G68" s="56">
        <v>4</v>
      </c>
      <c r="H68" s="57" t="s">
        <v>27</v>
      </c>
      <c r="I68" s="58" t="s">
        <v>152</v>
      </c>
      <c r="J68" s="72" t="str">
        <f t="shared" ref="J68:J131" si="1">IF(E68&gt;80000,"High Salary", "Normal")</f>
        <v>Normal</v>
      </c>
    </row>
    <row r="69" spans="1:10">
      <c r="A69" s="52" t="s">
        <v>153</v>
      </c>
      <c r="B69" s="67" t="s">
        <v>38</v>
      </c>
      <c r="C69" s="53" t="s">
        <v>12</v>
      </c>
      <c r="D69" s="53" t="s">
        <v>63</v>
      </c>
      <c r="E69" s="54">
        <v>96365</v>
      </c>
      <c r="F69" s="55">
        <v>42470</v>
      </c>
      <c r="G69" s="56">
        <v>3</v>
      </c>
      <c r="H69" s="57" t="s">
        <v>18</v>
      </c>
      <c r="I69" s="58" t="s">
        <v>154</v>
      </c>
      <c r="J69" s="72" t="str">
        <f t="shared" si="1"/>
        <v>High Salary</v>
      </c>
    </row>
    <row r="70" spans="1:10">
      <c r="A70" s="52" t="s">
        <v>155</v>
      </c>
      <c r="B70" s="53" t="s">
        <v>21</v>
      </c>
      <c r="C70" s="53" t="s">
        <v>25</v>
      </c>
      <c r="D70" s="53" t="s">
        <v>34</v>
      </c>
      <c r="E70" s="54">
        <v>61942</v>
      </c>
      <c r="F70" s="55">
        <v>42477</v>
      </c>
      <c r="G70" s="56">
        <v>3</v>
      </c>
      <c r="H70" s="57" t="s">
        <v>35</v>
      </c>
      <c r="I70" s="58" t="s">
        <v>156</v>
      </c>
      <c r="J70" s="72" t="str">
        <f t="shared" si="1"/>
        <v>Normal</v>
      </c>
    </row>
    <row r="71" spans="1:10">
      <c r="A71" s="52" t="s">
        <v>157</v>
      </c>
      <c r="B71" s="53" t="s">
        <v>38</v>
      </c>
      <c r="C71" s="53" t="s">
        <v>10</v>
      </c>
      <c r="D71" s="53" t="s">
        <v>46</v>
      </c>
      <c r="E71" s="54">
        <v>41467</v>
      </c>
      <c r="F71" s="55">
        <v>42484</v>
      </c>
      <c r="G71" s="56">
        <v>2</v>
      </c>
      <c r="H71" s="57" t="s">
        <v>12</v>
      </c>
      <c r="I71" s="58" t="s">
        <v>72</v>
      </c>
      <c r="J71" s="72" t="str">
        <f t="shared" si="1"/>
        <v>Normal</v>
      </c>
    </row>
    <row r="72" spans="1:10">
      <c r="A72" s="52" t="s">
        <v>158</v>
      </c>
      <c r="B72" s="53" t="s">
        <v>53</v>
      </c>
      <c r="C72" s="53" t="s">
        <v>10</v>
      </c>
      <c r="D72" s="53" t="s">
        <v>34</v>
      </c>
      <c r="E72" s="54">
        <v>77096</v>
      </c>
      <c r="F72" s="55">
        <v>42491</v>
      </c>
      <c r="G72" s="56">
        <v>1</v>
      </c>
      <c r="H72" s="57" t="s">
        <v>12</v>
      </c>
      <c r="I72" s="58" t="s">
        <v>159</v>
      </c>
      <c r="J72" s="72" t="str">
        <f t="shared" si="1"/>
        <v>Normal</v>
      </c>
    </row>
    <row r="73" spans="1:10">
      <c r="A73" s="52" t="s">
        <v>160</v>
      </c>
      <c r="B73" s="53" t="s">
        <v>15</v>
      </c>
      <c r="C73" s="53" t="s">
        <v>25</v>
      </c>
      <c r="D73" s="53" t="s">
        <v>63</v>
      </c>
      <c r="E73" s="54">
        <v>69952</v>
      </c>
      <c r="F73" s="55">
        <v>42498</v>
      </c>
      <c r="G73" s="56">
        <v>5</v>
      </c>
      <c r="H73" s="57" t="s">
        <v>35</v>
      </c>
      <c r="I73" s="58" t="s">
        <v>12</v>
      </c>
      <c r="J73" s="72" t="str">
        <f t="shared" si="1"/>
        <v>Normal</v>
      </c>
    </row>
    <row r="74" spans="1:10">
      <c r="A74" s="52" t="s">
        <v>161</v>
      </c>
      <c r="B74" s="53" t="s">
        <v>15</v>
      </c>
      <c r="C74" s="53" t="s">
        <v>41</v>
      </c>
      <c r="D74" s="53" t="s">
        <v>26</v>
      </c>
      <c r="E74" s="54">
        <v>85065</v>
      </c>
      <c r="F74" s="55">
        <v>42505</v>
      </c>
      <c r="G74" s="56">
        <v>3</v>
      </c>
      <c r="H74" s="57" t="s">
        <v>12</v>
      </c>
      <c r="I74" s="58" t="s">
        <v>162</v>
      </c>
      <c r="J74" s="72" t="str">
        <f t="shared" si="1"/>
        <v>High Salary</v>
      </c>
    </row>
    <row r="75" spans="1:10">
      <c r="A75" s="52" t="s">
        <v>163</v>
      </c>
      <c r="B75" s="53" t="s">
        <v>53</v>
      </c>
      <c r="C75" s="53" t="s">
        <v>41</v>
      </c>
      <c r="D75" s="53" t="s">
        <v>34</v>
      </c>
      <c r="E75" s="54">
        <v>56512</v>
      </c>
      <c r="F75" s="55">
        <v>42512</v>
      </c>
      <c r="G75" s="56">
        <v>2.8571428571428572</v>
      </c>
      <c r="H75" s="57" t="s">
        <v>18</v>
      </c>
      <c r="I75" s="58" t="s">
        <v>47</v>
      </c>
      <c r="J75" s="72" t="str">
        <f t="shared" si="1"/>
        <v>Normal</v>
      </c>
    </row>
    <row r="76" spans="1:10">
      <c r="A76" s="52" t="s">
        <v>164</v>
      </c>
      <c r="B76" s="53" t="s">
        <v>24</v>
      </c>
      <c r="C76" s="53" t="s">
        <v>25</v>
      </c>
      <c r="D76" s="53" t="s">
        <v>34</v>
      </c>
      <c r="E76" s="54">
        <v>91101</v>
      </c>
      <c r="F76" s="55">
        <v>42519</v>
      </c>
      <c r="G76" s="56">
        <v>4</v>
      </c>
      <c r="H76" s="57" t="s">
        <v>35</v>
      </c>
      <c r="I76" s="58" t="s">
        <v>146</v>
      </c>
      <c r="J76" s="72" t="str">
        <f t="shared" si="1"/>
        <v>High Salary</v>
      </c>
    </row>
    <row r="77" spans="1:10">
      <c r="A77" s="52" t="s">
        <v>165</v>
      </c>
      <c r="B77" s="67" t="s">
        <v>38</v>
      </c>
      <c r="C77" s="53" t="s">
        <v>12</v>
      </c>
      <c r="D77" s="53" t="s">
        <v>17</v>
      </c>
      <c r="E77" s="54">
        <v>41243</v>
      </c>
      <c r="F77" s="55">
        <v>42526</v>
      </c>
      <c r="G77" s="56">
        <v>2.838709677419355</v>
      </c>
      <c r="H77" s="57" t="s">
        <v>12</v>
      </c>
      <c r="I77" s="58" t="s">
        <v>92</v>
      </c>
      <c r="J77" s="72" t="str">
        <f t="shared" si="1"/>
        <v>Normal</v>
      </c>
    </row>
    <row r="78" spans="1:10">
      <c r="A78" s="52" t="s">
        <v>166</v>
      </c>
      <c r="B78" s="53" t="s">
        <v>12</v>
      </c>
      <c r="C78" s="53" t="s">
        <v>25</v>
      </c>
      <c r="D78" s="53" t="s">
        <v>12</v>
      </c>
      <c r="E78" s="54">
        <v>96142</v>
      </c>
      <c r="F78" s="55">
        <v>42533</v>
      </c>
      <c r="G78" s="56">
        <v>1</v>
      </c>
      <c r="H78" s="57" t="s">
        <v>18</v>
      </c>
      <c r="I78" s="58" t="s">
        <v>167</v>
      </c>
      <c r="J78" s="72" t="str">
        <f t="shared" si="1"/>
        <v>High Salary</v>
      </c>
    </row>
    <row r="79" spans="1:10">
      <c r="A79" s="52" t="s">
        <v>168</v>
      </c>
      <c r="B79" s="53" t="s">
        <v>15</v>
      </c>
      <c r="C79" s="53" t="s">
        <v>33</v>
      </c>
      <c r="D79" s="53" t="s">
        <v>34</v>
      </c>
      <c r="E79" s="54">
        <v>94301</v>
      </c>
      <c r="F79" s="55">
        <v>42540</v>
      </c>
      <c r="G79" s="56">
        <v>1</v>
      </c>
      <c r="H79" s="57" t="s">
        <v>27</v>
      </c>
      <c r="I79" s="58" t="s">
        <v>117</v>
      </c>
      <c r="J79" s="72" t="str">
        <f t="shared" si="1"/>
        <v>High Salary</v>
      </c>
    </row>
    <row r="80" spans="1:10">
      <c r="A80" s="52" t="s">
        <v>169</v>
      </c>
      <c r="B80" s="67" t="s">
        <v>30</v>
      </c>
      <c r="C80" s="53" t="s">
        <v>12</v>
      </c>
      <c r="D80" s="53" t="s">
        <v>46</v>
      </c>
      <c r="E80" s="54">
        <v>69166</v>
      </c>
      <c r="F80" s="55">
        <v>42547</v>
      </c>
      <c r="G80" s="56">
        <v>1</v>
      </c>
      <c r="H80" s="57" t="s">
        <v>35</v>
      </c>
      <c r="I80" s="58" t="s">
        <v>170</v>
      </c>
      <c r="J80" s="72" t="str">
        <f t="shared" si="1"/>
        <v>Normal</v>
      </c>
    </row>
    <row r="81" spans="1:10">
      <c r="A81" s="52" t="s">
        <v>171</v>
      </c>
      <c r="B81" s="67" t="s">
        <v>38</v>
      </c>
      <c r="C81" s="53" t="s">
        <v>12</v>
      </c>
      <c r="D81" s="53" t="s">
        <v>46</v>
      </c>
      <c r="E81" s="54">
        <v>78245</v>
      </c>
      <c r="F81" s="55">
        <v>42554</v>
      </c>
      <c r="G81" s="56">
        <v>2</v>
      </c>
      <c r="H81" s="57" t="s">
        <v>12</v>
      </c>
      <c r="I81" s="58" t="s">
        <v>172</v>
      </c>
      <c r="J81" s="72" t="str">
        <f t="shared" si="1"/>
        <v>Normal</v>
      </c>
    </row>
    <row r="82" spans="1:10">
      <c r="A82" s="52" t="s">
        <v>173</v>
      </c>
      <c r="B82" s="53" t="s">
        <v>40</v>
      </c>
      <c r="C82" s="53" t="s">
        <v>25</v>
      </c>
      <c r="D82" s="53" t="s">
        <v>26</v>
      </c>
      <c r="E82" s="54">
        <v>66079</v>
      </c>
      <c r="F82" s="55">
        <v>42561</v>
      </c>
      <c r="G82" s="56">
        <v>2</v>
      </c>
      <c r="H82" s="57" t="s">
        <v>18</v>
      </c>
      <c r="I82" s="58" t="s">
        <v>174</v>
      </c>
      <c r="J82" s="72" t="str">
        <f t="shared" si="1"/>
        <v>Normal</v>
      </c>
    </row>
    <row r="83" spans="1:10">
      <c r="A83" s="52" t="s">
        <v>175</v>
      </c>
      <c r="B83" s="53" t="s">
        <v>15</v>
      </c>
      <c r="C83" s="53" t="s">
        <v>41</v>
      </c>
      <c r="D83" s="53" t="s">
        <v>34</v>
      </c>
      <c r="E83" s="54">
        <v>63575.515151515152</v>
      </c>
      <c r="F83" s="55" t="s">
        <v>12</v>
      </c>
      <c r="G83" s="56">
        <v>2.9649122807017543</v>
      </c>
      <c r="H83" s="57" t="s">
        <v>12</v>
      </c>
      <c r="I83" s="58" t="s">
        <v>86</v>
      </c>
      <c r="J83" s="72" t="str">
        <f t="shared" si="1"/>
        <v>Normal</v>
      </c>
    </row>
    <row r="84" spans="1:10">
      <c r="A84" s="52" t="s">
        <v>176</v>
      </c>
      <c r="B84" s="53" t="s">
        <v>30</v>
      </c>
      <c r="C84" s="53" t="s">
        <v>25</v>
      </c>
      <c r="D84" s="53" t="s">
        <v>26</v>
      </c>
      <c r="E84" s="54">
        <v>95621</v>
      </c>
      <c r="F84" s="55">
        <v>42575</v>
      </c>
      <c r="G84" s="56">
        <v>3</v>
      </c>
      <c r="H84" s="57" t="s">
        <v>35</v>
      </c>
      <c r="I84" s="58" t="s">
        <v>177</v>
      </c>
      <c r="J84" s="72" t="str">
        <f t="shared" si="1"/>
        <v>High Salary</v>
      </c>
    </row>
    <row r="85" spans="1:10">
      <c r="A85" s="52" t="s">
        <v>178</v>
      </c>
      <c r="B85" s="53" t="s">
        <v>15</v>
      </c>
      <c r="C85" s="53" t="s">
        <v>33</v>
      </c>
      <c r="D85" s="53" t="s">
        <v>46</v>
      </c>
      <c r="E85" s="54">
        <v>42262</v>
      </c>
      <c r="F85" s="55">
        <v>42582</v>
      </c>
      <c r="G85" s="56">
        <v>1</v>
      </c>
      <c r="H85" s="57" t="s">
        <v>12</v>
      </c>
      <c r="I85" s="58" t="s">
        <v>179</v>
      </c>
      <c r="J85" s="72" t="str">
        <f t="shared" si="1"/>
        <v>Normal</v>
      </c>
    </row>
    <row r="86" spans="1:10">
      <c r="A86" s="52" t="s">
        <v>180</v>
      </c>
      <c r="B86" s="53" t="s">
        <v>38</v>
      </c>
      <c r="C86" s="53" t="s">
        <v>25</v>
      </c>
      <c r="D86" s="53" t="s">
        <v>34</v>
      </c>
      <c r="E86" s="54">
        <v>99621</v>
      </c>
      <c r="F86" s="55">
        <v>42589</v>
      </c>
      <c r="G86" s="56">
        <v>3</v>
      </c>
      <c r="H86" s="57" t="s">
        <v>18</v>
      </c>
      <c r="I86" s="58" t="s">
        <v>181</v>
      </c>
      <c r="J86" s="72" t="str">
        <f t="shared" si="1"/>
        <v>High Salary</v>
      </c>
    </row>
    <row r="87" spans="1:10">
      <c r="A87" s="52" t="s">
        <v>182</v>
      </c>
      <c r="B87" s="53" t="s">
        <v>24</v>
      </c>
      <c r="C87" s="53" t="s">
        <v>41</v>
      </c>
      <c r="D87" s="53" t="s">
        <v>34</v>
      </c>
      <c r="E87" s="54">
        <v>44682</v>
      </c>
      <c r="F87" s="55">
        <v>42596</v>
      </c>
      <c r="G87" s="56">
        <v>4</v>
      </c>
      <c r="H87" s="57" t="s">
        <v>35</v>
      </c>
      <c r="I87" s="58" t="s">
        <v>111</v>
      </c>
      <c r="J87" s="72" t="str">
        <f t="shared" si="1"/>
        <v>Normal</v>
      </c>
    </row>
    <row r="88" spans="1:10">
      <c r="A88" s="52" t="s">
        <v>183</v>
      </c>
      <c r="B88" s="53" t="s">
        <v>40</v>
      </c>
      <c r="C88" s="53" t="s">
        <v>10</v>
      </c>
      <c r="D88" s="53" t="s">
        <v>12</v>
      </c>
      <c r="E88" s="54">
        <v>35163</v>
      </c>
      <c r="F88" s="55">
        <v>42603</v>
      </c>
      <c r="G88" s="56">
        <v>5</v>
      </c>
      <c r="H88" s="57" t="s">
        <v>18</v>
      </c>
      <c r="I88" s="58" t="s">
        <v>184</v>
      </c>
      <c r="J88" s="72" t="str">
        <f t="shared" si="1"/>
        <v>Normal</v>
      </c>
    </row>
    <row r="89" spans="1:10">
      <c r="A89" s="52" t="s">
        <v>185</v>
      </c>
      <c r="B89" s="53" t="s">
        <v>40</v>
      </c>
      <c r="C89" s="53" t="s">
        <v>33</v>
      </c>
      <c r="D89" s="53" t="s">
        <v>34</v>
      </c>
      <c r="E89" s="54">
        <v>33483</v>
      </c>
      <c r="F89" s="55">
        <v>42610</v>
      </c>
      <c r="G89" s="56">
        <v>4</v>
      </c>
      <c r="H89" s="57" t="s">
        <v>27</v>
      </c>
      <c r="I89" s="58" t="s">
        <v>186</v>
      </c>
      <c r="J89" s="72" t="str">
        <f t="shared" si="1"/>
        <v>Normal</v>
      </c>
    </row>
    <row r="90" spans="1:10">
      <c r="A90" s="52" t="s">
        <v>187</v>
      </c>
      <c r="B90" s="53" t="s">
        <v>38</v>
      </c>
      <c r="C90" s="53" t="s">
        <v>16</v>
      </c>
      <c r="D90" s="53" t="s">
        <v>17</v>
      </c>
      <c r="E90" s="54">
        <v>55303</v>
      </c>
      <c r="F90" s="55">
        <v>42617</v>
      </c>
      <c r="G90" s="56">
        <v>4</v>
      </c>
      <c r="H90" s="57" t="s">
        <v>27</v>
      </c>
      <c r="I90" s="58" t="s">
        <v>76</v>
      </c>
      <c r="J90" s="72" t="str">
        <f t="shared" si="1"/>
        <v>Normal</v>
      </c>
    </row>
    <row r="91" spans="1:10">
      <c r="A91" s="52" t="s">
        <v>188</v>
      </c>
      <c r="B91" s="53" t="s">
        <v>40</v>
      </c>
      <c r="C91" s="53" t="s">
        <v>33</v>
      </c>
      <c r="D91" s="53" t="s">
        <v>12</v>
      </c>
      <c r="E91" s="54">
        <v>63434</v>
      </c>
      <c r="F91" s="55">
        <v>42624</v>
      </c>
      <c r="G91" s="56">
        <v>3</v>
      </c>
      <c r="H91" s="57" t="s">
        <v>12</v>
      </c>
      <c r="I91" s="58" t="s">
        <v>189</v>
      </c>
      <c r="J91" s="72" t="str">
        <f t="shared" si="1"/>
        <v>Normal</v>
      </c>
    </row>
    <row r="92" spans="1:10">
      <c r="A92" s="52" t="s">
        <v>190</v>
      </c>
      <c r="B92" s="67" t="s">
        <v>30</v>
      </c>
      <c r="C92" s="53" t="s">
        <v>12</v>
      </c>
      <c r="D92" s="53" t="s">
        <v>63</v>
      </c>
      <c r="E92" s="54">
        <v>38830</v>
      </c>
      <c r="F92" s="55">
        <v>42631</v>
      </c>
      <c r="G92" s="56">
        <v>3</v>
      </c>
      <c r="H92" s="57" t="s">
        <v>18</v>
      </c>
      <c r="I92" s="58" t="s">
        <v>76</v>
      </c>
      <c r="J92" s="72" t="str">
        <f t="shared" si="1"/>
        <v>Normal</v>
      </c>
    </row>
    <row r="93" spans="1:10">
      <c r="A93" s="52" t="s">
        <v>191</v>
      </c>
      <c r="B93" s="53" t="s">
        <v>12</v>
      </c>
      <c r="C93" s="53" t="s">
        <v>41</v>
      </c>
      <c r="D93" s="53" t="s">
        <v>46</v>
      </c>
      <c r="E93" s="54">
        <v>50741</v>
      </c>
      <c r="F93" s="55">
        <v>42638</v>
      </c>
      <c r="G93" s="56">
        <v>3</v>
      </c>
      <c r="H93" s="57" t="s">
        <v>12</v>
      </c>
      <c r="I93" s="58" t="s">
        <v>159</v>
      </c>
      <c r="J93" s="72" t="str">
        <f t="shared" si="1"/>
        <v>Normal</v>
      </c>
    </row>
    <row r="94" spans="1:10">
      <c r="A94" s="52" t="s">
        <v>192</v>
      </c>
      <c r="B94" s="53" t="s">
        <v>21</v>
      </c>
      <c r="C94" s="53" t="s">
        <v>16</v>
      </c>
      <c r="D94" s="53" t="s">
        <v>63</v>
      </c>
      <c r="E94" s="54">
        <v>69420</v>
      </c>
      <c r="F94" s="55">
        <v>42645</v>
      </c>
      <c r="G94" s="56">
        <v>1</v>
      </c>
      <c r="H94" s="57" t="s">
        <v>27</v>
      </c>
      <c r="I94" s="58" t="s">
        <v>122</v>
      </c>
      <c r="J94" s="72" t="str">
        <f t="shared" si="1"/>
        <v>Normal</v>
      </c>
    </row>
    <row r="95" spans="1:10">
      <c r="A95" s="52" t="s">
        <v>193</v>
      </c>
      <c r="B95" s="53" t="s">
        <v>30</v>
      </c>
      <c r="C95" s="53" t="s">
        <v>33</v>
      </c>
      <c r="D95" s="53" t="s">
        <v>12</v>
      </c>
      <c r="E95" s="54">
        <v>80588</v>
      </c>
      <c r="F95" s="55">
        <v>42652</v>
      </c>
      <c r="G95" s="56">
        <v>5</v>
      </c>
      <c r="H95" s="57" t="s">
        <v>27</v>
      </c>
      <c r="I95" s="58" t="s">
        <v>103</v>
      </c>
      <c r="J95" s="72" t="str">
        <f t="shared" si="1"/>
        <v>High Salary</v>
      </c>
    </row>
    <row r="96" spans="1:10">
      <c r="A96" s="52" t="s">
        <v>194</v>
      </c>
      <c r="B96" s="67" t="s">
        <v>21</v>
      </c>
      <c r="C96" s="53" t="s">
        <v>12</v>
      </c>
      <c r="D96" s="53" t="s">
        <v>26</v>
      </c>
      <c r="E96" s="54">
        <v>76238</v>
      </c>
      <c r="F96" s="55">
        <v>42659</v>
      </c>
      <c r="G96" s="56">
        <v>4</v>
      </c>
      <c r="H96" s="57" t="s">
        <v>27</v>
      </c>
      <c r="I96" s="58" t="s">
        <v>195</v>
      </c>
      <c r="J96" s="72" t="str">
        <f t="shared" si="1"/>
        <v>Normal</v>
      </c>
    </row>
    <row r="97" spans="1:10">
      <c r="A97" s="52" t="s">
        <v>196</v>
      </c>
      <c r="B97" s="53" t="s">
        <v>53</v>
      </c>
      <c r="C97" s="53" t="s">
        <v>33</v>
      </c>
      <c r="D97" s="53" t="s">
        <v>34</v>
      </c>
      <c r="E97" s="54">
        <v>33264</v>
      </c>
      <c r="F97" s="55">
        <v>42666</v>
      </c>
      <c r="G97" s="56">
        <v>2.8666666666666667</v>
      </c>
      <c r="H97" s="57" t="s">
        <v>35</v>
      </c>
      <c r="I97" s="58" t="s">
        <v>197</v>
      </c>
      <c r="J97" s="72" t="str">
        <f t="shared" si="1"/>
        <v>Normal</v>
      </c>
    </row>
    <row r="98" spans="1:10">
      <c r="A98" s="52" t="s">
        <v>198</v>
      </c>
      <c r="B98" s="53" t="s">
        <v>21</v>
      </c>
      <c r="C98" s="53" t="s">
        <v>10</v>
      </c>
      <c r="D98" s="53" t="s">
        <v>63</v>
      </c>
      <c r="E98" s="54">
        <v>96101</v>
      </c>
      <c r="F98" s="55">
        <v>42673</v>
      </c>
      <c r="G98" s="56">
        <v>2.8666666666666667</v>
      </c>
      <c r="H98" s="57" t="s">
        <v>18</v>
      </c>
      <c r="I98" s="58" t="s">
        <v>199</v>
      </c>
      <c r="J98" s="72" t="str">
        <f t="shared" si="1"/>
        <v>High Salary</v>
      </c>
    </row>
    <row r="99" spans="1:10">
      <c r="A99" s="52" t="s">
        <v>200</v>
      </c>
      <c r="B99" s="53" t="s">
        <v>30</v>
      </c>
      <c r="C99" s="53" t="s">
        <v>10</v>
      </c>
      <c r="D99" s="53" t="s">
        <v>26</v>
      </c>
      <c r="E99" s="54">
        <v>72939</v>
      </c>
      <c r="F99" s="55">
        <v>42680</v>
      </c>
      <c r="G99" s="56">
        <v>3</v>
      </c>
      <c r="H99" s="57" t="s">
        <v>12</v>
      </c>
      <c r="I99" s="58" t="s">
        <v>201</v>
      </c>
      <c r="J99" s="72" t="str">
        <f t="shared" si="1"/>
        <v>Normal</v>
      </c>
    </row>
    <row r="100" spans="1:10">
      <c r="A100" s="52" t="s">
        <v>202</v>
      </c>
      <c r="B100" s="53" t="s">
        <v>38</v>
      </c>
      <c r="C100" s="53" t="s">
        <v>16</v>
      </c>
      <c r="D100" s="53" t="s">
        <v>17</v>
      </c>
      <c r="E100" s="54">
        <v>89333</v>
      </c>
      <c r="F100" s="55">
        <v>42687</v>
      </c>
      <c r="G100" s="56">
        <v>1</v>
      </c>
      <c r="H100" s="57" t="s">
        <v>27</v>
      </c>
      <c r="I100" s="58" t="s">
        <v>203</v>
      </c>
      <c r="J100" s="72" t="str">
        <f t="shared" si="1"/>
        <v>High Salary</v>
      </c>
    </row>
    <row r="101" spans="1:10">
      <c r="A101" s="52" t="s">
        <v>204</v>
      </c>
      <c r="B101" s="53" t="s">
        <v>53</v>
      </c>
      <c r="C101" s="53" t="s">
        <v>33</v>
      </c>
      <c r="D101" s="53" t="s">
        <v>63</v>
      </c>
      <c r="E101" s="54">
        <v>70470</v>
      </c>
      <c r="F101" s="55">
        <v>42694</v>
      </c>
      <c r="G101" s="56">
        <v>2.9069767441860463</v>
      </c>
      <c r="H101" s="57" t="s">
        <v>27</v>
      </c>
      <c r="I101" s="58" t="s">
        <v>205</v>
      </c>
      <c r="J101" s="72" t="str">
        <f t="shared" si="1"/>
        <v>Normal</v>
      </c>
    </row>
    <row r="102" spans="1:10">
      <c r="A102" s="52" t="s">
        <v>206</v>
      </c>
      <c r="B102" s="53" t="s">
        <v>15</v>
      </c>
      <c r="C102" s="53" t="s">
        <v>41</v>
      </c>
      <c r="D102" s="53" t="s">
        <v>26</v>
      </c>
      <c r="E102" s="54">
        <v>70096</v>
      </c>
      <c r="F102" s="55">
        <v>42701</v>
      </c>
      <c r="G102" s="56">
        <v>4</v>
      </c>
      <c r="H102" s="57" t="s">
        <v>27</v>
      </c>
      <c r="I102" s="58" t="s">
        <v>207</v>
      </c>
      <c r="J102" s="72" t="str">
        <f t="shared" si="1"/>
        <v>Normal</v>
      </c>
    </row>
    <row r="103" spans="1:10">
      <c r="A103" s="52" t="s">
        <v>208</v>
      </c>
      <c r="B103" s="53" t="s">
        <v>53</v>
      </c>
      <c r="C103" s="53" t="s">
        <v>41</v>
      </c>
      <c r="D103" s="53" t="s">
        <v>12</v>
      </c>
      <c r="E103" s="54">
        <v>63370.106382978724</v>
      </c>
      <c r="F103" s="55">
        <v>42708</v>
      </c>
      <c r="G103" s="56">
        <v>2</v>
      </c>
      <c r="H103" s="57" t="s">
        <v>18</v>
      </c>
      <c r="I103" s="58" t="s">
        <v>209</v>
      </c>
      <c r="J103" s="72" t="str">
        <f t="shared" si="1"/>
        <v>Normal</v>
      </c>
    </row>
    <row r="104" spans="1:10">
      <c r="A104" s="52" t="s">
        <v>210</v>
      </c>
      <c r="B104" s="53" t="s">
        <v>53</v>
      </c>
      <c r="C104" s="53" t="s">
        <v>33</v>
      </c>
      <c r="D104" s="53" t="s">
        <v>17</v>
      </c>
      <c r="E104" s="54">
        <v>66503</v>
      </c>
      <c r="F104" s="55">
        <v>42715</v>
      </c>
      <c r="G104" s="56">
        <v>2.9024390243902438</v>
      </c>
      <c r="H104" s="57" t="s">
        <v>27</v>
      </c>
      <c r="I104" s="58" t="s">
        <v>70</v>
      </c>
      <c r="J104" s="72" t="str">
        <f t="shared" si="1"/>
        <v>Normal</v>
      </c>
    </row>
    <row r="105" spans="1:10">
      <c r="A105" s="52" t="s">
        <v>211</v>
      </c>
      <c r="B105" s="53" t="s">
        <v>21</v>
      </c>
      <c r="C105" s="53" t="s">
        <v>16</v>
      </c>
      <c r="D105" s="53" t="s">
        <v>17</v>
      </c>
      <c r="E105" s="54">
        <v>42096</v>
      </c>
      <c r="F105" s="55">
        <v>42722</v>
      </c>
      <c r="G105" s="56">
        <v>2.9024390243902438</v>
      </c>
      <c r="H105" s="57" t="s">
        <v>35</v>
      </c>
      <c r="I105" s="58" t="s">
        <v>212</v>
      </c>
      <c r="J105" s="72" t="str">
        <f t="shared" si="1"/>
        <v>Normal</v>
      </c>
    </row>
    <row r="106" spans="1:10">
      <c r="A106" s="52" t="s">
        <v>213</v>
      </c>
      <c r="B106" s="53" t="s">
        <v>21</v>
      </c>
      <c r="C106" s="67" t="s">
        <v>41</v>
      </c>
      <c r="D106" s="53" t="s">
        <v>12</v>
      </c>
      <c r="E106" s="54">
        <v>79145</v>
      </c>
      <c r="F106" s="55">
        <v>42729</v>
      </c>
      <c r="G106" s="56">
        <v>5</v>
      </c>
      <c r="H106" s="57" t="s">
        <v>18</v>
      </c>
      <c r="I106" s="58" t="s">
        <v>117</v>
      </c>
      <c r="J106" s="72" t="str">
        <f t="shared" si="1"/>
        <v>Normal</v>
      </c>
    </row>
    <row r="107" spans="1:10">
      <c r="A107" s="52" t="s">
        <v>214</v>
      </c>
      <c r="B107" s="67" t="s">
        <v>30</v>
      </c>
      <c r="C107" s="53" t="s">
        <v>12</v>
      </c>
      <c r="D107" s="53" t="s">
        <v>63</v>
      </c>
      <c r="E107" s="54">
        <v>61556</v>
      </c>
      <c r="F107" s="55">
        <v>42736</v>
      </c>
      <c r="G107" s="56">
        <v>1</v>
      </c>
      <c r="H107" s="57" t="s">
        <v>12</v>
      </c>
      <c r="I107" s="58" t="s">
        <v>209</v>
      </c>
      <c r="J107" s="72" t="str">
        <f t="shared" si="1"/>
        <v>Normal</v>
      </c>
    </row>
    <row r="108" spans="1:10">
      <c r="A108" s="52" t="s">
        <v>215</v>
      </c>
      <c r="B108" s="53" t="s">
        <v>12</v>
      </c>
      <c r="C108" s="53" t="s">
        <v>16</v>
      </c>
      <c r="D108" s="53" t="s">
        <v>46</v>
      </c>
      <c r="E108" s="54">
        <v>87963</v>
      </c>
      <c r="F108" s="55">
        <v>42743</v>
      </c>
      <c r="G108" s="56">
        <v>3</v>
      </c>
      <c r="H108" s="57" t="s">
        <v>18</v>
      </c>
      <c r="I108" s="58" t="s">
        <v>12</v>
      </c>
      <c r="J108" s="72" t="str">
        <f t="shared" si="1"/>
        <v>High Salary</v>
      </c>
    </row>
    <row r="109" spans="1:10">
      <c r="A109" s="52" t="s">
        <v>216</v>
      </c>
      <c r="B109" s="53" t="s">
        <v>15</v>
      </c>
      <c r="C109" s="53" t="s">
        <v>33</v>
      </c>
      <c r="D109" s="53" t="s">
        <v>12</v>
      </c>
      <c r="E109" s="54">
        <v>48325</v>
      </c>
      <c r="F109" s="55">
        <v>42750</v>
      </c>
      <c r="G109" s="56">
        <v>2.8947368421052633</v>
      </c>
      <c r="H109" s="57" t="s">
        <v>27</v>
      </c>
      <c r="I109" s="58" t="s">
        <v>217</v>
      </c>
      <c r="J109" s="72" t="str">
        <f t="shared" si="1"/>
        <v>Normal</v>
      </c>
    </row>
    <row r="110" spans="1:10">
      <c r="A110" s="52" t="s">
        <v>218</v>
      </c>
      <c r="B110" s="53" t="s">
        <v>38</v>
      </c>
      <c r="C110" s="53" t="s">
        <v>41</v>
      </c>
      <c r="D110" s="53" t="s">
        <v>63</v>
      </c>
      <c r="E110" s="54">
        <v>86412</v>
      </c>
      <c r="F110" s="55">
        <v>42757</v>
      </c>
      <c r="G110" s="56">
        <v>2</v>
      </c>
      <c r="H110" s="57" t="s">
        <v>35</v>
      </c>
      <c r="I110" s="58" t="s">
        <v>74</v>
      </c>
      <c r="J110" s="72" t="str">
        <f t="shared" si="1"/>
        <v>High Salary</v>
      </c>
    </row>
    <row r="111" spans="1:10">
      <c r="A111" s="52" t="s">
        <v>219</v>
      </c>
      <c r="B111" s="53" t="s">
        <v>38</v>
      </c>
      <c r="C111" s="53" t="s">
        <v>16</v>
      </c>
      <c r="D111" s="53" t="s">
        <v>12</v>
      </c>
      <c r="E111" s="54">
        <v>66761</v>
      </c>
      <c r="F111" s="55">
        <v>42764</v>
      </c>
      <c r="G111" s="56">
        <v>1</v>
      </c>
      <c r="H111" s="57" t="s">
        <v>12</v>
      </c>
      <c r="I111" s="58" t="s">
        <v>220</v>
      </c>
      <c r="J111" s="72" t="str">
        <f t="shared" si="1"/>
        <v>Normal</v>
      </c>
    </row>
    <row r="112" spans="1:10">
      <c r="A112" s="52" t="s">
        <v>221</v>
      </c>
      <c r="B112" s="67" t="s">
        <v>30</v>
      </c>
      <c r="C112" s="53" t="s">
        <v>12</v>
      </c>
      <c r="D112" s="53" t="s">
        <v>34</v>
      </c>
      <c r="E112" s="54">
        <v>88850</v>
      </c>
      <c r="F112" s="55">
        <v>42771</v>
      </c>
      <c r="G112" s="56">
        <v>1</v>
      </c>
      <c r="H112" s="57" t="s">
        <v>35</v>
      </c>
      <c r="I112" s="58" t="s">
        <v>222</v>
      </c>
      <c r="J112" s="72" t="str">
        <f t="shared" si="1"/>
        <v>High Salary</v>
      </c>
    </row>
    <row r="113" spans="1:10">
      <c r="A113" s="52" t="s">
        <v>223</v>
      </c>
      <c r="B113" s="53" t="s">
        <v>40</v>
      </c>
      <c r="C113" s="53" t="s">
        <v>25</v>
      </c>
      <c r="D113" s="53" t="s">
        <v>34</v>
      </c>
      <c r="E113" s="54">
        <v>31293</v>
      </c>
      <c r="F113" s="55" t="s">
        <v>12</v>
      </c>
      <c r="G113" s="56">
        <v>2</v>
      </c>
      <c r="H113" s="57" t="s">
        <v>35</v>
      </c>
      <c r="I113" s="58" t="s">
        <v>224</v>
      </c>
      <c r="J113" s="72" t="str">
        <f t="shared" si="1"/>
        <v>Normal</v>
      </c>
    </row>
    <row r="114" spans="1:10">
      <c r="A114" s="52" t="s">
        <v>225</v>
      </c>
      <c r="B114" s="53" t="s">
        <v>40</v>
      </c>
      <c r="C114" s="53" t="s">
        <v>33</v>
      </c>
      <c r="D114" s="53" t="s">
        <v>26</v>
      </c>
      <c r="E114" s="54">
        <v>34306</v>
      </c>
      <c r="F114" s="55">
        <v>42785</v>
      </c>
      <c r="G114" s="56">
        <v>5</v>
      </c>
      <c r="H114" s="57" t="s">
        <v>35</v>
      </c>
      <c r="I114" s="58" t="s">
        <v>156</v>
      </c>
      <c r="J114" s="72" t="str">
        <f t="shared" si="1"/>
        <v>Normal</v>
      </c>
    </row>
    <row r="115" spans="1:10">
      <c r="A115" s="52" t="s">
        <v>226</v>
      </c>
      <c r="B115" s="53" t="s">
        <v>15</v>
      </c>
      <c r="C115" s="53" t="s">
        <v>10</v>
      </c>
      <c r="D115" s="53" t="s">
        <v>34</v>
      </c>
      <c r="E115" s="54">
        <v>78330</v>
      </c>
      <c r="F115" s="55">
        <v>42792</v>
      </c>
      <c r="G115" s="56">
        <v>3</v>
      </c>
      <c r="H115" s="57" t="s">
        <v>18</v>
      </c>
      <c r="I115" s="58" t="s">
        <v>207</v>
      </c>
      <c r="J115" s="72" t="str">
        <f t="shared" si="1"/>
        <v>Normal</v>
      </c>
    </row>
    <row r="116" spans="1:10">
      <c r="A116" s="52" t="s">
        <v>227</v>
      </c>
      <c r="B116" s="53" t="s">
        <v>21</v>
      </c>
      <c r="C116" s="53" t="s">
        <v>33</v>
      </c>
      <c r="D116" s="53" t="s">
        <v>26</v>
      </c>
      <c r="E116" s="54">
        <v>47653</v>
      </c>
      <c r="F116" s="55">
        <v>42799</v>
      </c>
      <c r="G116" s="56">
        <v>1</v>
      </c>
      <c r="H116" s="57" t="s">
        <v>27</v>
      </c>
      <c r="I116" s="58" t="s">
        <v>228</v>
      </c>
      <c r="J116" s="72" t="str">
        <f t="shared" si="1"/>
        <v>Normal</v>
      </c>
    </row>
    <row r="117" spans="1:10">
      <c r="A117" s="52" t="s">
        <v>229</v>
      </c>
      <c r="B117" s="53" t="s">
        <v>15</v>
      </c>
      <c r="C117" s="53" t="s">
        <v>41</v>
      </c>
      <c r="D117" s="53" t="s">
        <v>46</v>
      </c>
      <c r="E117" s="54">
        <v>44627</v>
      </c>
      <c r="F117" s="55">
        <v>42806</v>
      </c>
      <c r="G117" s="56">
        <v>4</v>
      </c>
      <c r="H117" s="57" t="s">
        <v>12</v>
      </c>
      <c r="I117" s="58" t="s">
        <v>148</v>
      </c>
      <c r="J117" s="72" t="str">
        <f t="shared" si="1"/>
        <v>Normal</v>
      </c>
    </row>
    <row r="118" spans="1:10">
      <c r="A118" s="52" t="s">
        <v>230</v>
      </c>
      <c r="B118" s="53" t="s">
        <v>53</v>
      </c>
      <c r="C118" s="53" t="s">
        <v>16</v>
      </c>
      <c r="D118" s="53" t="s">
        <v>17</v>
      </c>
      <c r="E118" s="54">
        <v>92343</v>
      </c>
      <c r="F118" s="55">
        <v>42813</v>
      </c>
      <c r="G118" s="56">
        <v>4</v>
      </c>
      <c r="H118" s="57" t="s">
        <v>35</v>
      </c>
      <c r="I118" s="58" t="s">
        <v>76</v>
      </c>
      <c r="J118" s="72" t="str">
        <f t="shared" si="1"/>
        <v>High Salary</v>
      </c>
    </row>
    <row r="119" spans="1:10">
      <c r="A119" s="52" t="s">
        <v>231</v>
      </c>
      <c r="B119" s="53" t="s">
        <v>53</v>
      </c>
      <c r="C119" s="53" t="s">
        <v>41</v>
      </c>
      <c r="D119" s="53" t="s">
        <v>63</v>
      </c>
      <c r="E119" s="54">
        <v>38837</v>
      </c>
      <c r="F119" s="55">
        <v>42820</v>
      </c>
      <c r="G119" s="56">
        <v>5</v>
      </c>
      <c r="H119" s="57" t="s">
        <v>35</v>
      </c>
      <c r="I119" s="58" t="s">
        <v>156</v>
      </c>
      <c r="J119" s="72" t="str">
        <f t="shared" si="1"/>
        <v>Normal</v>
      </c>
    </row>
    <row r="120" spans="1:10">
      <c r="A120" s="52" t="s">
        <v>232</v>
      </c>
      <c r="B120" s="53" t="s">
        <v>53</v>
      </c>
      <c r="C120" s="67" t="s">
        <v>41</v>
      </c>
      <c r="D120" s="53" t="s">
        <v>12</v>
      </c>
      <c r="E120" s="54">
        <v>73483</v>
      </c>
      <c r="F120" s="55">
        <v>42827</v>
      </c>
      <c r="G120" s="56">
        <v>1</v>
      </c>
      <c r="H120" s="57" t="s">
        <v>12</v>
      </c>
      <c r="I120" s="58" t="s">
        <v>233</v>
      </c>
      <c r="J120" s="72" t="str">
        <f t="shared" si="1"/>
        <v>Normal</v>
      </c>
    </row>
    <row r="121" spans="1:10">
      <c r="A121" s="52" t="s">
        <v>234</v>
      </c>
      <c r="B121" s="53" t="s">
        <v>40</v>
      </c>
      <c r="C121" s="53" t="s">
        <v>25</v>
      </c>
      <c r="D121" s="53" t="s">
        <v>34</v>
      </c>
      <c r="E121" s="54">
        <v>95032</v>
      </c>
      <c r="F121" s="55">
        <v>42834</v>
      </c>
      <c r="G121" s="56">
        <v>3</v>
      </c>
      <c r="H121" s="57" t="s">
        <v>12</v>
      </c>
      <c r="I121" s="58" t="s">
        <v>235</v>
      </c>
      <c r="J121" s="72" t="str">
        <f t="shared" si="1"/>
        <v>High Salary</v>
      </c>
    </row>
    <row r="122" spans="1:10">
      <c r="A122" s="52" t="s">
        <v>236</v>
      </c>
      <c r="B122" s="53" t="s">
        <v>15</v>
      </c>
      <c r="C122" s="53" t="s">
        <v>25</v>
      </c>
      <c r="D122" s="53" t="s">
        <v>63</v>
      </c>
      <c r="E122" s="54">
        <v>44358</v>
      </c>
      <c r="F122" s="55">
        <v>42841</v>
      </c>
      <c r="G122" s="56">
        <v>3</v>
      </c>
      <c r="H122" s="57" t="s">
        <v>35</v>
      </c>
      <c r="I122" s="58" t="s">
        <v>70</v>
      </c>
      <c r="J122" s="72" t="str">
        <f t="shared" si="1"/>
        <v>Normal</v>
      </c>
    </row>
    <row r="123" spans="1:10">
      <c r="A123" s="52" t="s">
        <v>237</v>
      </c>
      <c r="B123" s="53" t="s">
        <v>12</v>
      </c>
      <c r="C123" s="53" t="s">
        <v>33</v>
      </c>
      <c r="D123" s="53" t="s">
        <v>26</v>
      </c>
      <c r="E123" s="54">
        <v>63232.928571428572</v>
      </c>
      <c r="F123" s="55" t="s">
        <v>12</v>
      </c>
      <c r="G123" s="56">
        <v>5</v>
      </c>
      <c r="H123" s="57" t="s">
        <v>12</v>
      </c>
      <c r="I123" s="58" t="s">
        <v>238</v>
      </c>
      <c r="J123" s="72" t="str">
        <f t="shared" si="1"/>
        <v>Normal</v>
      </c>
    </row>
    <row r="124" spans="1:10">
      <c r="A124" s="52" t="s">
        <v>239</v>
      </c>
      <c r="B124" s="53" t="s">
        <v>40</v>
      </c>
      <c r="C124" s="53" t="s">
        <v>25</v>
      </c>
      <c r="D124" s="53" t="s">
        <v>26</v>
      </c>
      <c r="E124" s="54">
        <v>45676</v>
      </c>
      <c r="F124" s="55">
        <v>42855</v>
      </c>
      <c r="G124" s="56">
        <v>2</v>
      </c>
      <c r="H124" s="57" t="s">
        <v>12</v>
      </c>
      <c r="I124" s="58" t="s">
        <v>240</v>
      </c>
      <c r="J124" s="72" t="str">
        <f t="shared" si="1"/>
        <v>Normal</v>
      </c>
    </row>
    <row r="125" spans="1:10">
      <c r="A125" s="52" t="s">
        <v>241</v>
      </c>
      <c r="B125" s="53" t="s">
        <v>53</v>
      </c>
      <c r="C125" s="53" t="s">
        <v>25</v>
      </c>
      <c r="D125" s="53" t="s">
        <v>17</v>
      </c>
      <c r="E125" s="54">
        <v>52036</v>
      </c>
      <c r="F125" s="55">
        <v>42862</v>
      </c>
      <c r="G125" s="56">
        <v>3</v>
      </c>
      <c r="H125" s="57" t="s">
        <v>27</v>
      </c>
      <c r="I125" s="58" t="s">
        <v>242</v>
      </c>
      <c r="J125" s="72" t="str">
        <f t="shared" si="1"/>
        <v>Normal</v>
      </c>
    </row>
    <row r="126" spans="1:10">
      <c r="A126" s="52" t="s">
        <v>243</v>
      </c>
      <c r="B126" s="67" t="s">
        <v>30</v>
      </c>
      <c r="C126" s="53" t="s">
        <v>12</v>
      </c>
      <c r="D126" s="53" t="s">
        <v>17</v>
      </c>
      <c r="E126" s="54">
        <v>30357</v>
      </c>
      <c r="F126" s="55">
        <v>42869</v>
      </c>
      <c r="G126" s="56">
        <v>5</v>
      </c>
      <c r="H126" s="57" t="s">
        <v>27</v>
      </c>
      <c r="I126" s="58" t="s">
        <v>181</v>
      </c>
      <c r="J126" s="72" t="str">
        <f t="shared" si="1"/>
        <v>Normal</v>
      </c>
    </row>
    <row r="127" spans="1:10">
      <c r="A127" s="52" t="s">
        <v>244</v>
      </c>
      <c r="B127" s="53" t="s">
        <v>24</v>
      </c>
      <c r="C127" s="53" t="s">
        <v>33</v>
      </c>
      <c r="D127" s="53" t="s">
        <v>12</v>
      </c>
      <c r="E127" s="54">
        <v>60034</v>
      </c>
      <c r="F127" s="55">
        <v>42876</v>
      </c>
      <c r="G127" s="56">
        <v>1</v>
      </c>
      <c r="H127" s="57" t="s">
        <v>35</v>
      </c>
      <c r="I127" s="58" t="s">
        <v>245</v>
      </c>
      <c r="J127" s="72" t="str">
        <f t="shared" si="1"/>
        <v>Normal</v>
      </c>
    </row>
    <row r="128" spans="1:10">
      <c r="A128" s="52" t="s">
        <v>246</v>
      </c>
      <c r="B128" s="53" t="s">
        <v>24</v>
      </c>
      <c r="C128" s="53" t="s">
        <v>10</v>
      </c>
      <c r="D128" s="53" t="s">
        <v>12</v>
      </c>
      <c r="E128" s="54">
        <v>90019</v>
      </c>
      <c r="F128" s="55">
        <v>42883</v>
      </c>
      <c r="G128" s="56">
        <v>5</v>
      </c>
      <c r="H128" s="57" t="s">
        <v>12</v>
      </c>
      <c r="I128" s="58" t="s">
        <v>247</v>
      </c>
      <c r="J128" s="72" t="str">
        <f t="shared" si="1"/>
        <v>High Salary</v>
      </c>
    </row>
    <row r="129" spans="1:10">
      <c r="A129" s="52" t="s">
        <v>248</v>
      </c>
      <c r="B129" s="67" t="s">
        <v>53</v>
      </c>
      <c r="C129" s="53" t="s">
        <v>12</v>
      </c>
      <c r="D129" s="53" t="s">
        <v>17</v>
      </c>
      <c r="E129" s="54">
        <v>71494</v>
      </c>
      <c r="F129" s="55">
        <v>42890</v>
      </c>
      <c r="G129" s="56">
        <v>3</v>
      </c>
      <c r="H129" s="57" t="s">
        <v>27</v>
      </c>
      <c r="I129" s="58" t="s">
        <v>249</v>
      </c>
      <c r="J129" s="72" t="str">
        <f t="shared" si="1"/>
        <v>Normal</v>
      </c>
    </row>
    <row r="130" spans="1:10">
      <c r="A130" s="52" t="s">
        <v>250</v>
      </c>
      <c r="B130" s="53" t="s">
        <v>24</v>
      </c>
      <c r="C130" s="53" t="s">
        <v>10</v>
      </c>
      <c r="D130" s="53" t="s">
        <v>26</v>
      </c>
      <c r="E130" s="54">
        <v>91953</v>
      </c>
      <c r="F130" s="55">
        <v>42897</v>
      </c>
      <c r="G130" s="56">
        <v>2</v>
      </c>
      <c r="H130" s="57" t="s">
        <v>27</v>
      </c>
      <c r="I130" s="58" t="s">
        <v>88</v>
      </c>
      <c r="J130" s="72" t="str">
        <f t="shared" si="1"/>
        <v>High Salary</v>
      </c>
    </row>
    <row r="131" spans="1:10">
      <c r="A131" s="52" t="s">
        <v>251</v>
      </c>
      <c r="B131" s="53" t="s">
        <v>40</v>
      </c>
      <c r="C131" s="53" t="s">
        <v>25</v>
      </c>
      <c r="D131" s="53" t="s">
        <v>26</v>
      </c>
      <c r="E131" s="54">
        <v>30402</v>
      </c>
      <c r="F131" s="55">
        <v>42904</v>
      </c>
      <c r="G131" s="56">
        <v>1</v>
      </c>
      <c r="H131" s="57" t="s">
        <v>12</v>
      </c>
      <c r="I131" s="58" t="s">
        <v>252</v>
      </c>
      <c r="J131" s="72" t="str">
        <f t="shared" si="1"/>
        <v>Normal</v>
      </c>
    </row>
    <row r="132" spans="1:10">
      <c r="A132" s="52" t="s">
        <v>253</v>
      </c>
      <c r="B132" s="67" t="s">
        <v>53</v>
      </c>
      <c r="C132" s="53" t="s">
        <v>12</v>
      </c>
      <c r="D132" s="53" t="s">
        <v>46</v>
      </c>
      <c r="E132" s="54">
        <v>62994</v>
      </c>
      <c r="F132" s="55">
        <v>42911</v>
      </c>
      <c r="G132" s="56">
        <v>3</v>
      </c>
      <c r="H132" s="57" t="s">
        <v>12</v>
      </c>
      <c r="I132" s="58" t="s">
        <v>113</v>
      </c>
      <c r="J132" s="72" t="str">
        <f t="shared" ref="J132:J152" si="2">IF(E132&gt;80000,"High Salary", "Normal")</f>
        <v>Normal</v>
      </c>
    </row>
    <row r="133" spans="1:10">
      <c r="A133" s="52" t="s">
        <v>254</v>
      </c>
      <c r="B133" s="53" t="s">
        <v>21</v>
      </c>
      <c r="C133" s="53" t="s">
        <v>25</v>
      </c>
      <c r="D133" s="53" t="s">
        <v>34</v>
      </c>
      <c r="E133" s="54">
        <v>48289</v>
      </c>
      <c r="F133" s="55" t="s">
        <v>12</v>
      </c>
      <c r="G133" s="56">
        <v>3</v>
      </c>
      <c r="H133" s="57" t="s">
        <v>27</v>
      </c>
      <c r="I133" s="58" t="s">
        <v>44</v>
      </c>
      <c r="J133" s="72" t="str">
        <f t="shared" si="2"/>
        <v>Normal</v>
      </c>
    </row>
    <row r="134" spans="1:10">
      <c r="A134" s="52" t="s">
        <v>255</v>
      </c>
      <c r="B134" s="53" t="s">
        <v>38</v>
      </c>
      <c r="C134" s="53" t="s">
        <v>41</v>
      </c>
      <c r="D134" s="53" t="s">
        <v>17</v>
      </c>
      <c r="E134" s="54">
        <v>34402</v>
      </c>
      <c r="F134" s="55">
        <v>42925</v>
      </c>
      <c r="G134" s="56">
        <v>3</v>
      </c>
      <c r="H134" s="57" t="s">
        <v>18</v>
      </c>
      <c r="I134" s="58" t="s">
        <v>107</v>
      </c>
      <c r="J134" s="72" t="str">
        <f t="shared" si="2"/>
        <v>Normal</v>
      </c>
    </row>
    <row r="135" spans="1:10">
      <c r="A135" s="52" t="s">
        <v>256</v>
      </c>
      <c r="B135" s="53" t="s">
        <v>15</v>
      </c>
      <c r="C135" s="53" t="s">
        <v>16</v>
      </c>
      <c r="D135" s="53" t="s">
        <v>26</v>
      </c>
      <c r="E135" s="54">
        <v>38678</v>
      </c>
      <c r="F135" s="55">
        <v>42932</v>
      </c>
      <c r="G135" s="56">
        <v>3</v>
      </c>
      <c r="H135" s="57" t="s">
        <v>18</v>
      </c>
      <c r="I135" s="58" t="s">
        <v>257</v>
      </c>
      <c r="J135" s="72" t="str">
        <f t="shared" si="2"/>
        <v>Normal</v>
      </c>
    </row>
    <row r="136" spans="1:10">
      <c r="A136" s="52" t="s">
        <v>258</v>
      </c>
      <c r="B136" s="53" t="s">
        <v>40</v>
      </c>
      <c r="C136" s="53" t="s">
        <v>16</v>
      </c>
      <c r="D136" s="53" t="s">
        <v>17</v>
      </c>
      <c r="E136" s="54">
        <v>45758</v>
      </c>
      <c r="F136" s="55">
        <v>42939</v>
      </c>
      <c r="G136" s="56">
        <v>3</v>
      </c>
      <c r="H136" s="57" t="s">
        <v>12</v>
      </c>
      <c r="I136" s="58" t="s">
        <v>224</v>
      </c>
      <c r="J136" s="72" t="str">
        <f t="shared" si="2"/>
        <v>Normal</v>
      </c>
    </row>
    <row r="137" spans="1:10">
      <c r="A137" s="52" t="s">
        <v>259</v>
      </c>
      <c r="B137" s="53" t="s">
        <v>15</v>
      </c>
      <c r="C137" s="53" t="s">
        <v>41</v>
      </c>
      <c r="D137" s="53" t="s">
        <v>34</v>
      </c>
      <c r="E137" s="54">
        <v>62476</v>
      </c>
      <c r="F137" s="55">
        <v>42946</v>
      </c>
      <c r="G137" s="56">
        <v>1</v>
      </c>
      <c r="H137" s="57" t="s">
        <v>18</v>
      </c>
      <c r="I137" s="58" t="s">
        <v>137</v>
      </c>
      <c r="J137" s="72" t="str">
        <f t="shared" si="2"/>
        <v>Normal</v>
      </c>
    </row>
    <row r="138" spans="1:10">
      <c r="A138" s="52" t="s">
        <v>260</v>
      </c>
      <c r="B138" s="53" t="s">
        <v>12</v>
      </c>
      <c r="C138" s="53" t="s">
        <v>33</v>
      </c>
      <c r="D138" s="53" t="s">
        <v>46</v>
      </c>
      <c r="E138" s="54">
        <v>39280</v>
      </c>
      <c r="F138" s="55">
        <v>42953</v>
      </c>
      <c r="G138" s="56">
        <v>3</v>
      </c>
      <c r="H138" s="57" t="s">
        <v>35</v>
      </c>
      <c r="I138" s="58" t="s">
        <v>98</v>
      </c>
      <c r="J138" s="72" t="str">
        <f t="shared" si="2"/>
        <v>Normal</v>
      </c>
    </row>
    <row r="139" spans="1:10">
      <c r="A139" s="52" t="s">
        <v>261</v>
      </c>
      <c r="B139" s="53" t="s">
        <v>30</v>
      </c>
      <c r="C139" s="53" t="s">
        <v>10</v>
      </c>
      <c r="D139" s="53" t="s">
        <v>34</v>
      </c>
      <c r="E139" s="54">
        <v>60335</v>
      </c>
      <c r="F139" s="55">
        <v>42960</v>
      </c>
      <c r="G139" s="56">
        <v>4</v>
      </c>
      <c r="H139" s="57" t="s">
        <v>18</v>
      </c>
      <c r="I139" s="58" t="s">
        <v>128</v>
      </c>
      <c r="J139" s="72" t="str">
        <f t="shared" si="2"/>
        <v>Normal</v>
      </c>
    </row>
    <row r="140" spans="1:10">
      <c r="A140" s="52" t="s">
        <v>262</v>
      </c>
      <c r="B140" s="53" t="s">
        <v>40</v>
      </c>
      <c r="C140" s="53" t="s">
        <v>16</v>
      </c>
      <c r="D140" s="53" t="s">
        <v>17</v>
      </c>
      <c r="E140" s="54">
        <v>84968</v>
      </c>
      <c r="F140" s="55">
        <v>42967</v>
      </c>
      <c r="G140" s="56">
        <v>3.0909090909090908</v>
      </c>
      <c r="H140" s="57" t="s">
        <v>12</v>
      </c>
      <c r="I140" s="58" t="s">
        <v>263</v>
      </c>
      <c r="J140" s="72" t="str">
        <f t="shared" si="2"/>
        <v>High Salary</v>
      </c>
    </row>
    <row r="141" spans="1:10">
      <c r="A141" s="52" t="s">
        <v>264</v>
      </c>
      <c r="B141" s="53" t="s">
        <v>40</v>
      </c>
      <c r="C141" s="53" t="s">
        <v>41</v>
      </c>
      <c r="D141" s="53" t="s">
        <v>63</v>
      </c>
      <c r="E141" s="54">
        <v>84750</v>
      </c>
      <c r="F141" s="55">
        <v>42974</v>
      </c>
      <c r="G141" s="56">
        <v>4</v>
      </c>
      <c r="H141" s="57" t="s">
        <v>35</v>
      </c>
      <c r="I141" s="58" t="s">
        <v>59</v>
      </c>
      <c r="J141" s="72" t="str">
        <f t="shared" si="2"/>
        <v>High Salary</v>
      </c>
    </row>
    <row r="142" spans="1:10">
      <c r="A142" s="52" t="s">
        <v>265</v>
      </c>
      <c r="B142" s="53" t="s">
        <v>53</v>
      </c>
      <c r="C142" s="53" t="s">
        <v>33</v>
      </c>
      <c r="D142" s="53" t="s">
        <v>12</v>
      </c>
      <c r="E142" s="54">
        <v>73348</v>
      </c>
      <c r="F142" s="55">
        <v>42981</v>
      </c>
      <c r="G142" s="56">
        <v>2</v>
      </c>
      <c r="H142" s="57" t="s">
        <v>12</v>
      </c>
      <c r="I142" s="58" t="s">
        <v>170</v>
      </c>
      <c r="J142" s="72" t="str">
        <f t="shared" si="2"/>
        <v>Normal</v>
      </c>
    </row>
    <row r="143" spans="1:10">
      <c r="A143" s="52" t="s">
        <v>266</v>
      </c>
      <c r="B143" s="53" t="s">
        <v>40</v>
      </c>
      <c r="C143" s="53" t="s">
        <v>25</v>
      </c>
      <c r="D143" s="53" t="s">
        <v>26</v>
      </c>
      <c r="E143" s="54">
        <v>73697</v>
      </c>
      <c r="F143" s="55">
        <v>42988</v>
      </c>
      <c r="G143" s="56">
        <v>4</v>
      </c>
      <c r="H143" s="57" t="s">
        <v>18</v>
      </c>
      <c r="I143" s="58" t="s">
        <v>12</v>
      </c>
      <c r="J143" s="72" t="str">
        <f t="shared" si="2"/>
        <v>Normal</v>
      </c>
    </row>
    <row r="144" spans="1:10">
      <c r="A144" s="52" t="s">
        <v>267</v>
      </c>
      <c r="B144" s="53" t="s">
        <v>30</v>
      </c>
      <c r="C144" s="53" t="s">
        <v>41</v>
      </c>
      <c r="D144" s="53" t="s">
        <v>26</v>
      </c>
      <c r="E144" s="54">
        <v>66882</v>
      </c>
      <c r="F144" s="55">
        <v>42995</v>
      </c>
      <c r="G144" s="56">
        <v>5</v>
      </c>
      <c r="H144" s="57" t="s">
        <v>18</v>
      </c>
      <c r="I144" s="58" t="s">
        <v>84</v>
      </c>
      <c r="J144" s="72" t="str">
        <f t="shared" si="2"/>
        <v>Normal</v>
      </c>
    </row>
    <row r="145" spans="1:10">
      <c r="A145" s="52" t="s">
        <v>268</v>
      </c>
      <c r="B145" s="53" t="s">
        <v>21</v>
      </c>
      <c r="C145" s="67" t="s">
        <v>41</v>
      </c>
      <c r="D145" s="53" t="s">
        <v>12</v>
      </c>
      <c r="E145" s="54">
        <v>86775</v>
      </c>
      <c r="F145" s="55">
        <v>43002</v>
      </c>
      <c r="G145" s="56">
        <v>3</v>
      </c>
      <c r="H145" s="57" t="s">
        <v>18</v>
      </c>
      <c r="I145" s="58" t="s">
        <v>94</v>
      </c>
      <c r="J145" s="72" t="str">
        <f t="shared" si="2"/>
        <v>High Salary</v>
      </c>
    </row>
    <row r="146" spans="1:10">
      <c r="A146" s="52" t="s">
        <v>269</v>
      </c>
      <c r="B146" s="53" t="s">
        <v>40</v>
      </c>
      <c r="C146" s="53" t="s">
        <v>25</v>
      </c>
      <c r="D146" s="53" t="s">
        <v>46</v>
      </c>
      <c r="E146" s="54">
        <v>91620</v>
      </c>
      <c r="F146" s="55">
        <v>43009</v>
      </c>
      <c r="G146" s="56">
        <v>2.6666666666666665</v>
      </c>
      <c r="H146" s="57" t="s">
        <v>12</v>
      </c>
      <c r="I146" s="58" t="s">
        <v>270</v>
      </c>
      <c r="J146" s="72" t="str">
        <f t="shared" si="2"/>
        <v>High Salary</v>
      </c>
    </row>
    <row r="147" spans="1:10">
      <c r="A147" s="52" t="s">
        <v>271</v>
      </c>
      <c r="B147" s="67" t="s">
        <v>15</v>
      </c>
      <c r="C147" s="53" t="s">
        <v>12</v>
      </c>
      <c r="D147" s="53" t="s">
        <v>12</v>
      </c>
      <c r="E147" s="54">
        <v>94148</v>
      </c>
      <c r="F147" s="55">
        <v>43016</v>
      </c>
      <c r="G147" s="56">
        <v>2</v>
      </c>
      <c r="H147" s="57" t="s">
        <v>12</v>
      </c>
      <c r="I147" s="58" t="s">
        <v>272</v>
      </c>
      <c r="J147" s="72" t="str">
        <f t="shared" si="2"/>
        <v>High Salary</v>
      </c>
    </row>
    <row r="148" spans="1:10">
      <c r="A148" s="52" t="s">
        <v>273</v>
      </c>
      <c r="B148" s="53" t="s">
        <v>38</v>
      </c>
      <c r="C148" s="53" t="s">
        <v>25</v>
      </c>
      <c r="D148" s="53" t="s">
        <v>63</v>
      </c>
      <c r="E148" s="54">
        <v>35627</v>
      </c>
      <c r="F148" s="55">
        <v>43023</v>
      </c>
      <c r="G148" s="56">
        <v>5</v>
      </c>
      <c r="H148" s="57" t="s">
        <v>35</v>
      </c>
      <c r="I148" s="58" t="s">
        <v>257</v>
      </c>
      <c r="J148" s="72" t="str">
        <f t="shared" si="2"/>
        <v>Normal</v>
      </c>
    </row>
    <row r="149" spans="1:10">
      <c r="A149" s="52" t="s">
        <v>274</v>
      </c>
      <c r="B149" s="53" t="s">
        <v>24</v>
      </c>
      <c r="C149" s="53" t="s">
        <v>41</v>
      </c>
      <c r="D149" s="53" t="s">
        <v>26</v>
      </c>
      <c r="E149" s="54">
        <v>57141</v>
      </c>
      <c r="F149" s="55">
        <v>43030</v>
      </c>
      <c r="G149" s="56">
        <v>2</v>
      </c>
      <c r="H149" s="57" t="s">
        <v>12</v>
      </c>
      <c r="I149" s="58" t="s">
        <v>263</v>
      </c>
      <c r="J149" s="72" t="str">
        <f t="shared" si="2"/>
        <v>Normal</v>
      </c>
    </row>
    <row r="150" spans="1:10">
      <c r="A150" s="52" t="s">
        <v>275</v>
      </c>
      <c r="B150" s="53" t="s">
        <v>53</v>
      </c>
      <c r="C150" s="53" t="s">
        <v>25</v>
      </c>
      <c r="D150" s="53" t="s">
        <v>63</v>
      </c>
      <c r="E150" s="54">
        <v>65270</v>
      </c>
      <c r="F150" s="55">
        <v>43037</v>
      </c>
      <c r="G150" s="56">
        <v>1</v>
      </c>
      <c r="H150" s="57" t="s">
        <v>12</v>
      </c>
      <c r="I150" s="58" t="s">
        <v>276</v>
      </c>
      <c r="J150" s="72" t="str">
        <f t="shared" si="2"/>
        <v>Normal</v>
      </c>
    </row>
    <row r="151" spans="1:10">
      <c r="A151" s="52" t="s">
        <v>277</v>
      </c>
      <c r="B151" s="67" t="s">
        <v>53</v>
      </c>
      <c r="C151" s="53" t="s">
        <v>12</v>
      </c>
      <c r="D151" s="53" t="s">
        <v>46</v>
      </c>
      <c r="E151" s="54">
        <v>67335</v>
      </c>
      <c r="F151" s="55">
        <v>43044</v>
      </c>
      <c r="G151" s="56">
        <v>1</v>
      </c>
      <c r="H151" s="57" t="s">
        <v>18</v>
      </c>
      <c r="I151" s="58" t="s">
        <v>143</v>
      </c>
      <c r="J151" s="72" t="str">
        <f t="shared" si="2"/>
        <v>Normal</v>
      </c>
    </row>
    <row r="152" spans="1:10">
      <c r="A152" s="52" t="s">
        <v>278</v>
      </c>
      <c r="B152" s="53" t="s">
        <v>38</v>
      </c>
      <c r="C152" s="53" t="s">
        <v>41</v>
      </c>
      <c r="D152" s="53" t="s">
        <v>34</v>
      </c>
      <c r="E152" s="54">
        <v>98475</v>
      </c>
      <c r="F152" s="55">
        <v>43051</v>
      </c>
      <c r="G152" s="56">
        <v>5</v>
      </c>
      <c r="H152" s="57" t="s">
        <v>18</v>
      </c>
      <c r="I152" s="58" t="s">
        <v>279</v>
      </c>
      <c r="J152" s="72" t="str">
        <f t="shared" si="2"/>
        <v>High Salary</v>
      </c>
    </row>
  </sheetData>
  <mergeCells count="2">
    <mergeCell ref="A1:P1"/>
    <mergeCell ref="L5:M5"/>
  </mergeCells>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91F3E7-F36A-43FD-AD5B-99D70D57C2C3}">
  <dimension ref="A1:N152"/>
  <sheetViews>
    <sheetView workbookViewId="0">
      <selection activeCell="J21" sqref="J21"/>
    </sheetView>
  </sheetViews>
  <sheetFormatPr defaultRowHeight="14.4"/>
  <cols>
    <col min="1" max="1" width="13.21875" customWidth="1"/>
    <col min="2" max="2" width="13.33203125" customWidth="1"/>
    <col min="3" max="3" width="12.88671875" customWidth="1"/>
    <col min="4" max="4" width="12.77734375" customWidth="1"/>
    <col min="5" max="5" width="11.44140625" customWidth="1"/>
    <col min="6" max="6" width="12.21875" customWidth="1"/>
    <col min="8" max="8" width="15.77734375" customWidth="1"/>
    <col min="9" max="9" width="21.6640625" customWidth="1"/>
    <col min="10" max="10" width="15.5546875" customWidth="1"/>
    <col min="11" max="11" width="10.77734375" customWidth="1"/>
    <col min="12" max="12" width="11.33203125" style="51" customWidth="1"/>
    <col min="13" max="13" width="10.77734375" customWidth="1"/>
    <col min="14" max="14" width="14.5546875" customWidth="1"/>
  </cols>
  <sheetData>
    <row r="1" spans="1:14" ht="21">
      <c r="A1" s="195" t="s">
        <v>354</v>
      </c>
      <c r="B1" s="195"/>
      <c r="C1" s="195"/>
      <c r="D1" s="195"/>
      <c r="E1" s="195"/>
      <c r="F1" s="195"/>
      <c r="G1" s="195"/>
      <c r="H1" s="195"/>
      <c r="I1" s="195"/>
      <c r="J1" s="195"/>
      <c r="K1" s="195"/>
      <c r="L1" s="195"/>
      <c r="M1" s="195"/>
      <c r="N1" s="195"/>
    </row>
    <row r="2" spans="1:14">
      <c r="A2" s="84" t="s">
        <v>0</v>
      </c>
      <c r="B2" s="85" t="s">
        <v>1</v>
      </c>
      <c r="C2" s="85" t="s">
        <v>2</v>
      </c>
      <c r="D2" s="85" t="s">
        <v>3</v>
      </c>
      <c r="E2" s="86" t="s">
        <v>4</v>
      </c>
      <c r="F2" s="87" t="s">
        <v>5</v>
      </c>
      <c r="G2" s="88" t="s">
        <v>6</v>
      </c>
      <c r="H2" s="85" t="s">
        <v>7</v>
      </c>
      <c r="I2" s="89" t="s">
        <v>8</v>
      </c>
      <c r="K2" s="51"/>
      <c r="L2"/>
    </row>
    <row r="3" spans="1:14">
      <c r="A3" s="90" t="s">
        <v>9</v>
      </c>
      <c r="B3" s="53" t="s">
        <v>12</v>
      </c>
      <c r="C3" s="53" t="s">
        <v>10</v>
      </c>
      <c r="D3" s="53" t="s">
        <v>12</v>
      </c>
      <c r="E3" s="54">
        <v>66280.929577464791</v>
      </c>
      <c r="F3" s="55" t="s">
        <v>12</v>
      </c>
      <c r="G3" s="56">
        <v>2</v>
      </c>
      <c r="H3" s="57" t="s">
        <v>12</v>
      </c>
      <c r="I3" s="71" t="s">
        <v>12</v>
      </c>
      <c r="K3" s="196" t="s">
        <v>357</v>
      </c>
      <c r="L3" s="196"/>
      <c r="M3" s="196"/>
      <c r="N3" s="196"/>
    </row>
    <row r="4" spans="1:14">
      <c r="A4" s="90" t="s">
        <v>14</v>
      </c>
      <c r="B4" s="53" t="s">
        <v>15</v>
      </c>
      <c r="C4" s="53" t="s">
        <v>16</v>
      </c>
      <c r="D4" s="53" t="s">
        <v>17</v>
      </c>
      <c r="E4" s="54">
        <v>54255</v>
      </c>
      <c r="F4" s="55">
        <v>42015</v>
      </c>
      <c r="G4" s="56">
        <v>1</v>
      </c>
      <c r="H4" s="57" t="s">
        <v>18</v>
      </c>
      <c r="I4" s="71" t="s">
        <v>19</v>
      </c>
      <c r="K4" s="51"/>
      <c r="L4"/>
    </row>
    <row r="5" spans="1:14">
      <c r="A5" s="90" t="s">
        <v>20</v>
      </c>
      <c r="B5" s="53" t="s">
        <v>21</v>
      </c>
      <c r="C5" s="53" t="s">
        <v>10</v>
      </c>
      <c r="D5" s="53" t="s">
        <v>17</v>
      </c>
      <c r="E5" s="54">
        <v>63184</v>
      </c>
      <c r="F5" s="55">
        <v>42022</v>
      </c>
      <c r="G5" s="56">
        <v>2</v>
      </c>
      <c r="H5" s="57" t="s">
        <v>12</v>
      </c>
      <c r="I5" s="71" t="s">
        <v>22</v>
      </c>
      <c r="K5" s="119" t="s">
        <v>356</v>
      </c>
      <c r="L5" s="120" t="s">
        <v>0</v>
      </c>
      <c r="M5" s="121" t="s">
        <v>1</v>
      </c>
      <c r="N5" s="122" t="s">
        <v>4</v>
      </c>
    </row>
    <row r="6" spans="1:14">
      <c r="A6" s="90" t="s">
        <v>23</v>
      </c>
      <c r="B6" s="53" t="s">
        <v>24</v>
      </c>
      <c r="C6" s="53" t="s">
        <v>25</v>
      </c>
      <c r="D6" s="53" t="s">
        <v>26</v>
      </c>
      <c r="E6" s="54">
        <v>94406</v>
      </c>
      <c r="F6" s="55">
        <v>42029</v>
      </c>
      <c r="G6" s="56">
        <v>1</v>
      </c>
      <c r="H6" s="57" t="s">
        <v>27</v>
      </c>
      <c r="I6" s="71" t="s">
        <v>28</v>
      </c>
      <c r="K6" s="117">
        <v>1</v>
      </c>
      <c r="L6" s="111" t="s">
        <v>180</v>
      </c>
      <c r="M6" s="112" t="s">
        <v>38</v>
      </c>
      <c r="N6" s="113">
        <v>99621</v>
      </c>
    </row>
    <row r="7" spans="1:14">
      <c r="A7" s="90" t="s">
        <v>29</v>
      </c>
      <c r="B7" s="53" t="s">
        <v>30</v>
      </c>
      <c r="C7" s="53" t="s">
        <v>25</v>
      </c>
      <c r="D7" s="53" t="s">
        <v>17</v>
      </c>
      <c r="E7" s="54">
        <v>64120</v>
      </c>
      <c r="F7" s="55">
        <v>42036</v>
      </c>
      <c r="G7" s="56">
        <v>1</v>
      </c>
      <c r="H7" s="57" t="s">
        <v>27</v>
      </c>
      <c r="I7" s="71" t="s">
        <v>31</v>
      </c>
      <c r="K7" s="117">
        <v>2</v>
      </c>
      <c r="L7" s="111" t="s">
        <v>71</v>
      </c>
      <c r="M7" s="112" t="s">
        <v>30</v>
      </c>
      <c r="N7" s="113">
        <v>98922</v>
      </c>
    </row>
    <row r="8" spans="1:14">
      <c r="A8" s="90" t="s">
        <v>32</v>
      </c>
      <c r="B8" s="53" t="s">
        <v>21</v>
      </c>
      <c r="C8" s="53" t="s">
        <v>33</v>
      </c>
      <c r="D8" s="53" t="s">
        <v>34</v>
      </c>
      <c r="E8" s="54">
        <v>78421</v>
      </c>
      <c r="F8" s="55">
        <v>42043</v>
      </c>
      <c r="G8" s="56">
        <v>2</v>
      </c>
      <c r="H8" s="57" t="s">
        <v>35</v>
      </c>
      <c r="I8" s="71" t="s">
        <v>36</v>
      </c>
      <c r="K8" s="117">
        <v>3</v>
      </c>
      <c r="L8" s="111" t="s">
        <v>278</v>
      </c>
      <c r="M8" s="112" t="s">
        <v>38</v>
      </c>
      <c r="N8" s="113">
        <v>98475</v>
      </c>
    </row>
    <row r="9" spans="1:14">
      <c r="A9" s="90" t="s">
        <v>37</v>
      </c>
      <c r="B9" s="53" t="s">
        <v>38</v>
      </c>
      <c r="C9" s="53" t="s">
        <v>25</v>
      </c>
      <c r="D9" s="53" t="s">
        <v>12</v>
      </c>
      <c r="E9" s="54">
        <v>67721</v>
      </c>
      <c r="F9" s="55">
        <v>42050</v>
      </c>
      <c r="G9" s="56">
        <v>2.9411764705882355</v>
      </c>
      <c r="H9" s="57" t="s">
        <v>27</v>
      </c>
      <c r="I9" s="71" t="s">
        <v>28</v>
      </c>
      <c r="K9" s="117">
        <v>4</v>
      </c>
      <c r="L9" s="111" t="s">
        <v>145</v>
      </c>
      <c r="M9" s="112" t="s">
        <v>40</v>
      </c>
      <c r="N9" s="113">
        <v>97981</v>
      </c>
    </row>
    <row r="10" spans="1:14">
      <c r="A10" s="90" t="s">
        <v>39</v>
      </c>
      <c r="B10" s="53" t="s">
        <v>40</v>
      </c>
      <c r="C10" s="67" t="s">
        <v>41</v>
      </c>
      <c r="D10" s="53" t="s">
        <v>12</v>
      </c>
      <c r="E10" s="54">
        <v>35364</v>
      </c>
      <c r="F10" s="55">
        <v>42057</v>
      </c>
      <c r="G10" s="56">
        <v>2</v>
      </c>
      <c r="H10" s="57" t="s">
        <v>18</v>
      </c>
      <c r="I10" s="71" t="s">
        <v>42</v>
      </c>
      <c r="K10" s="118">
        <v>5</v>
      </c>
      <c r="L10" s="114" t="s">
        <v>43</v>
      </c>
      <c r="M10" s="115" t="s">
        <v>21</v>
      </c>
      <c r="N10" s="116">
        <v>97881</v>
      </c>
    </row>
    <row r="11" spans="1:14">
      <c r="A11" s="90" t="s">
        <v>43</v>
      </c>
      <c r="B11" s="53" t="s">
        <v>21</v>
      </c>
      <c r="C11" s="53" t="s">
        <v>33</v>
      </c>
      <c r="D11" s="53" t="s">
        <v>17</v>
      </c>
      <c r="E11" s="54">
        <v>97881</v>
      </c>
      <c r="F11" s="55">
        <v>42064</v>
      </c>
      <c r="G11" s="56">
        <v>2.9491525423728815</v>
      </c>
      <c r="H11" s="57" t="s">
        <v>35</v>
      </c>
      <c r="I11" s="71" t="s">
        <v>44</v>
      </c>
      <c r="K11" s="51"/>
      <c r="L11"/>
    </row>
    <row r="12" spans="1:14">
      <c r="A12" s="90" t="s">
        <v>45</v>
      </c>
      <c r="B12" s="53" t="s">
        <v>40</v>
      </c>
      <c r="C12" s="53" t="s">
        <v>16</v>
      </c>
      <c r="D12" s="53" t="s">
        <v>46</v>
      </c>
      <c r="E12" s="54">
        <v>91846</v>
      </c>
      <c r="F12" s="55">
        <v>42071</v>
      </c>
      <c r="G12" s="56">
        <v>2.9491525423728815</v>
      </c>
      <c r="H12" s="57" t="s">
        <v>27</v>
      </c>
      <c r="I12" s="71" t="s">
        <v>47</v>
      </c>
      <c r="K12" s="196" t="s">
        <v>358</v>
      </c>
      <c r="L12" s="196"/>
      <c r="M12" s="196"/>
      <c r="N12" s="196"/>
    </row>
    <row r="13" spans="1:14" ht="15" thickBot="1">
      <c r="A13" s="90" t="s">
        <v>48</v>
      </c>
      <c r="B13" s="53" t="s">
        <v>38</v>
      </c>
      <c r="C13" s="53" t="s">
        <v>10</v>
      </c>
      <c r="D13" s="53" t="s">
        <v>46</v>
      </c>
      <c r="E13" s="54">
        <v>64247</v>
      </c>
      <c r="F13" s="55">
        <v>42078</v>
      </c>
      <c r="G13" s="56">
        <v>1</v>
      </c>
      <c r="H13" s="57" t="s">
        <v>35</v>
      </c>
      <c r="I13" s="71" t="s">
        <v>49</v>
      </c>
      <c r="K13" s="51"/>
      <c r="L13"/>
    </row>
    <row r="14" spans="1:14">
      <c r="A14" s="90" t="s">
        <v>50</v>
      </c>
      <c r="B14" s="53" t="s">
        <v>38</v>
      </c>
      <c r="C14" s="53" t="s">
        <v>33</v>
      </c>
      <c r="D14" s="53" t="s">
        <v>26</v>
      </c>
      <c r="E14" s="54">
        <v>91180</v>
      </c>
      <c r="F14" s="55">
        <v>42085</v>
      </c>
      <c r="G14" s="56">
        <v>5</v>
      </c>
      <c r="H14" s="57" t="s">
        <v>27</v>
      </c>
      <c r="I14" s="71" t="s">
        <v>51</v>
      </c>
      <c r="K14" s="127" t="s">
        <v>0</v>
      </c>
      <c r="L14" s="128" t="s">
        <v>1</v>
      </c>
      <c r="M14" s="128" t="s">
        <v>2</v>
      </c>
      <c r="N14" s="129" t="s">
        <v>6</v>
      </c>
    </row>
    <row r="15" spans="1:14">
      <c r="A15" s="90" t="s">
        <v>52</v>
      </c>
      <c r="B15" s="53" t="s">
        <v>53</v>
      </c>
      <c r="C15" s="53" t="s">
        <v>25</v>
      </c>
      <c r="D15" s="53" t="s">
        <v>12</v>
      </c>
      <c r="E15" s="54">
        <v>96418</v>
      </c>
      <c r="F15" s="55">
        <v>42092</v>
      </c>
      <c r="G15" s="56">
        <v>5</v>
      </c>
      <c r="H15" s="57" t="s">
        <v>27</v>
      </c>
      <c r="I15" s="71" t="s">
        <v>19</v>
      </c>
      <c r="K15" s="123" t="s">
        <v>50</v>
      </c>
      <c r="L15" s="124" t="s">
        <v>38</v>
      </c>
      <c r="M15" s="124" t="s">
        <v>33</v>
      </c>
      <c r="N15" s="125">
        <v>5</v>
      </c>
    </row>
    <row r="16" spans="1:14">
      <c r="A16" s="90" t="s">
        <v>54</v>
      </c>
      <c r="B16" s="67" t="s">
        <v>38</v>
      </c>
      <c r="C16" s="53" t="s">
        <v>12</v>
      </c>
      <c r="D16" s="53" t="s">
        <v>34</v>
      </c>
      <c r="E16" s="54">
        <v>62158</v>
      </c>
      <c r="F16" s="55">
        <v>42099</v>
      </c>
      <c r="G16" s="56">
        <v>4</v>
      </c>
      <c r="H16" s="57" t="s">
        <v>12</v>
      </c>
      <c r="I16" s="71" t="s">
        <v>55</v>
      </c>
      <c r="K16" s="123" t="s">
        <v>52</v>
      </c>
      <c r="L16" s="124" t="s">
        <v>53</v>
      </c>
      <c r="M16" s="124" t="s">
        <v>25</v>
      </c>
      <c r="N16" s="125">
        <v>5</v>
      </c>
    </row>
    <row r="17" spans="1:14">
      <c r="A17" s="90" t="s">
        <v>56</v>
      </c>
      <c r="B17" s="53" t="s">
        <v>30</v>
      </c>
      <c r="C17" s="53" t="s">
        <v>16</v>
      </c>
      <c r="D17" s="53" t="s">
        <v>12</v>
      </c>
      <c r="E17" s="54">
        <v>59894</v>
      </c>
      <c r="F17" s="55">
        <v>42106</v>
      </c>
      <c r="G17" s="56">
        <v>2</v>
      </c>
      <c r="H17" s="57" t="s">
        <v>27</v>
      </c>
      <c r="I17" s="71" t="s">
        <v>57</v>
      </c>
      <c r="K17" s="123" t="s">
        <v>67</v>
      </c>
      <c r="L17" s="126" t="s">
        <v>15</v>
      </c>
      <c r="M17" s="124" t="s">
        <v>12</v>
      </c>
      <c r="N17" s="125">
        <v>5</v>
      </c>
    </row>
    <row r="18" spans="1:14">
      <c r="A18" s="90" t="s">
        <v>58</v>
      </c>
      <c r="B18" s="53" t="s">
        <v>12</v>
      </c>
      <c r="C18" s="53" t="s">
        <v>33</v>
      </c>
      <c r="D18" s="53" t="s">
        <v>34</v>
      </c>
      <c r="E18" s="54">
        <v>92443</v>
      </c>
      <c r="F18" s="55">
        <v>42113</v>
      </c>
      <c r="G18" s="56">
        <v>3</v>
      </c>
      <c r="H18" s="57" t="s">
        <v>18</v>
      </c>
      <c r="I18" s="71" t="s">
        <v>59</v>
      </c>
      <c r="K18" s="123" t="s">
        <v>73</v>
      </c>
      <c r="L18" s="124" t="s">
        <v>15</v>
      </c>
      <c r="M18" s="124" t="s">
        <v>10</v>
      </c>
      <c r="N18" s="125">
        <v>5</v>
      </c>
    </row>
    <row r="19" spans="1:14">
      <c r="A19" s="90" t="s">
        <v>60</v>
      </c>
      <c r="B19" s="67" t="s">
        <v>53</v>
      </c>
      <c r="C19" s="53" t="s">
        <v>12</v>
      </c>
      <c r="D19" s="53" t="s">
        <v>17</v>
      </c>
      <c r="E19" s="54">
        <v>90271</v>
      </c>
      <c r="F19" s="55">
        <v>42120</v>
      </c>
      <c r="G19" s="56">
        <v>2.9285714285714284</v>
      </c>
      <c r="H19" s="57" t="s">
        <v>12</v>
      </c>
      <c r="I19" s="71" t="s">
        <v>61</v>
      </c>
      <c r="K19" s="123" t="s">
        <v>87</v>
      </c>
      <c r="L19" s="124" t="s">
        <v>53</v>
      </c>
      <c r="M19" s="124" t="s">
        <v>41</v>
      </c>
      <c r="N19" s="125">
        <v>5</v>
      </c>
    </row>
    <row r="20" spans="1:14">
      <c r="A20" s="90" t="s">
        <v>62</v>
      </c>
      <c r="B20" s="53" t="s">
        <v>30</v>
      </c>
      <c r="C20" s="53" t="s">
        <v>10</v>
      </c>
      <c r="D20" s="53" t="s">
        <v>63</v>
      </c>
      <c r="E20" s="54">
        <v>41341</v>
      </c>
      <c r="F20" s="55">
        <v>42127</v>
      </c>
      <c r="G20" s="56">
        <v>1</v>
      </c>
      <c r="H20" s="57" t="s">
        <v>18</v>
      </c>
      <c r="I20" s="71" t="s">
        <v>64</v>
      </c>
      <c r="K20" s="51"/>
      <c r="L20"/>
    </row>
    <row r="21" spans="1:14">
      <c r="A21" s="90" t="s">
        <v>65</v>
      </c>
      <c r="B21" s="53" t="s">
        <v>21</v>
      </c>
      <c r="C21" s="53" t="s">
        <v>10</v>
      </c>
      <c r="D21" s="53" t="s">
        <v>46</v>
      </c>
      <c r="E21" s="54">
        <v>73602</v>
      </c>
      <c r="F21" s="55">
        <v>42134</v>
      </c>
      <c r="G21" s="56">
        <v>2.9459459459459461</v>
      </c>
      <c r="H21" s="57" t="s">
        <v>12</v>
      </c>
      <c r="I21" s="71" t="s">
        <v>66</v>
      </c>
      <c r="K21" s="51"/>
      <c r="L21"/>
    </row>
    <row r="22" spans="1:14">
      <c r="A22" s="90" t="s">
        <v>67</v>
      </c>
      <c r="B22" s="67" t="s">
        <v>15</v>
      </c>
      <c r="C22" s="53" t="s">
        <v>12</v>
      </c>
      <c r="D22" s="53" t="s">
        <v>34</v>
      </c>
      <c r="E22" s="54">
        <v>67531</v>
      </c>
      <c r="F22" s="55">
        <v>42141</v>
      </c>
      <c r="G22" s="56">
        <v>5</v>
      </c>
      <c r="H22" s="57" t="s">
        <v>35</v>
      </c>
      <c r="I22" s="71" t="s">
        <v>68</v>
      </c>
      <c r="K22" s="51"/>
      <c r="L22"/>
    </row>
    <row r="23" spans="1:14">
      <c r="A23" s="90" t="s">
        <v>69</v>
      </c>
      <c r="B23" s="53" t="s">
        <v>30</v>
      </c>
      <c r="C23" s="53" t="s">
        <v>16</v>
      </c>
      <c r="D23" s="53" t="s">
        <v>26</v>
      </c>
      <c r="E23" s="54">
        <v>65248.853658536587</v>
      </c>
      <c r="F23" s="55">
        <v>42148</v>
      </c>
      <c r="G23" s="56">
        <v>2</v>
      </c>
      <c r="H23" s="57" t="s">
        <v>18</v>
      </c>
      <c r="I23" s="71" t="s">
        <v>70</v>
      </c>
      <c r="K23" s="51"/>
      <c r="L23"/>
    </row>
    <row r="24" spans="1:14">
      <c r="A24" s="90" t="s">
        <v>71</v>
      </c>
      <c r="B24" s="53" t="s">
        <v>30</v>
      </c>
      <c r="C24" s="53" t="s">
        <v>16</v>
      </c>
      <c r="D24" s="53" t="s">
        <v>12</v>
      </c>
      <c r="E24" s="54">
        <v>98922</v>
      </c>
      <c r="F24" s="55">
        <v>42155</v>
      </c>
      <c r="G24" s="56">
        <v>4</v>
      </c>
      <c r="H24" s="57" t="s">
        <v>12</v>
      </c>
      <c r="I24" s="71" t="s">
        <v>72</v>
      </c>
      <c r="K24" s="51"/>
      <c r="L24"/>
    </row>
    <row r="25" spans="1:14">
      <c r="A25" s="90" t="s">
        <v>73</v>
      </c>
      <c r="B25" s="53" t="s">
        <v>15</v>
      </c>
      <c r="C25" s="53" t="s">
        <v>10</v>
      </c>
      <c r="D25" s="53" t="s">
        <v>34</v>
      </c>
      <c r="E25" s="54">
        <v>38333</v>
      </c>
      <c r="F25" s="55">
        <v>42162</v>
      </c>
      <c r="G25" s="56">
        <v>5</v>
      </c>
      <c r="H25" s="57" t="s">
        <v>12</v>
      </c>
      <c r="I25" s="71" t="s">
        <v>74</v>
      </c>
      <c r="K25" s="51"/>
      <c r="L25"/>
    </row>
    <row r="26" spans="1:14">
      <c r="A26" s="90" t="s">
        <v>75</v>
      </c>
      <c r="B26" s="53" t="s">
        <v>21</v>
      </c>
      <c r="C26" s="53" t="s">
        <v>41</v>
      </c>
      <c r="D26" s="53" t="s">
        <v>46</v>
      </c>
      <c r="E26" s="54">
        <v>36515</v>
      </c>
      <c r="F26" s="55">
        <v>42169</v>
      </c>
      <c r="G26" s="56">
        <v>3</v>
      </c>
      <c r="H26" s="57" t="s">
        <v>27</v>
      </c>
      <c r="I26" s="71" t="s">
        <v>76</v>
      </c>
      <c r="K26" s="51"/>
      <c r="L26"/>
    </row>
    <row r="27" spans="1:14">
      <c r="A27" s="90" t="s">
        <v>77</v>
      </c>
      <c r="B27" s="53" t="s">
        <v>38</v>
      </c>
      <c r="C27" s="53" t="s">
        <v>10</v>
      </c>
      <c r="D27" s="53" t="s">
        <v>12</v>
      </c>
      <c r="E27" s="54">
        <v>91005</v>
      </c>
      <c r="F27" s="55">
        <v>42176</v>
      </c>
      <c r="G27" s="56">
        <v>1</v>
      </c>
      <c r="H27" s="57" t="s">
        <v>18</v>
      </c>
      <c r="I27" s="71" t="s">
        <v>78</v>
      </c>
      <c r="K27" s="51"/>
      <c r="L27"/>
    </row>
    <row r="28" spans="1:14">
      <c r="A28" s="90" t="s">
        <v>79</v>
      </c>
      <c r="B28" s="53" t="s">
        <v>40</v>
      </c>
      <c r="C28" s="53" t="s">
        <v>12</v>
      </c>
      <c r="D28" s="53" t="s">
        <v>12</v>
      </c>
      <c r="E28" s="54">
        <v>52272</v>
      </c>
      <c r="F28" s="55">
        <v>42183</v>
      </c>
      <c r="G28" s="56">
        <v>3</v>
      </c>
      <c r="H28" s="57" t="s">
        <v>12</v>
      </c>
      <c r="I28" s="71" t="s">
        <v>80</v>
      </c>
      <c r="K28" s="51"/>
      <c r="L28"/>
    </row>
    <row r="29" spans="1:14">
      <c r="A29" s="90" t="s">
        <v>81</v>
      </c>
      <c r="B29" s="53" t="s">
        <v>15</v>
      </c>
      <c r="C29" s="53" t="s">
        <v>25</v>
      </c>
      <c r="D29" s="53" t="s">
        <v>17</v>
      </c>
      <c r="E29" s="54">
        <v>76518</v>
      </c>
      <c r="F29" s="55">
        <v>42190</v>
      </c>
      <c r="G29" s="56">
        <v>2</v>
      </c>
      <c r="H29" s="57" t="s">
        <v>35</v>
      </c>
      <c r="I29" s="71" t="s">
        <v>82</v>
      </c>
      <c r="K29" s="51"/>
      <c r="L29"/>
    </row>
    <row r="30" spans="1:14">
      <c r="A30" s="90" t="s">
        <v>83</v>
      </c>
      <c r="B30" s="53" t="s">
        <v>21</v>
      </c>
      <c r="C30" s="53" t="s">
        <v>33</v>
      </c>
      <c r="D30" s="53" t="s">
        <v>46</v>
      </c>
      <c r="E30" s="54">
        <v>41448</v>
      </c>
      <c r="F30" s="55">
        <v>42197</v>
      </c>
      <c r="G30" s="56">
        <v>3</v>
      </c>
      <c r="H30" s="57" t="s">
        <v>18</v>
      </c>
      <c r="I30" s="71" t="s">
        <v>84</v>
      </c>
      <c r="K30" s="51"/>
      <c r="L30"/>
    </row>
    <row r="31" spans="1:14">
      <c r="A31" s="90" t="s">
        <v>85</v>
      </c>
      <c r="B31" s="53" t="s">
        <v>24</v>
      </c>
      <c r="C31" s="53" t="s">
        <v>16</v>
      </c>
      <c r="D31" s="53" t="s">
        <v>46</v>
      </c>
      <c r="E31" s="54">
        <v>49282</v>
      </c>
      <c r="F31" s="55">
        <v>42204</v>
      </c>
      <c r="G31" s="56">
        <v>2</v>
      </c>
      <c r="H31" s="57" t="s">
        <v>35</v>
      </c>
      <c r="I31" s="71" t="s">
        <v>86</v>
      </c>
      <c r="K31" s="51"/>
      <c r="L31"/>
    </row>
    <row r="32" spans="1:14">
      <c r="A32" s="90" t="s">
        <v>87</v>
      </c>
      <c r="B32" s="53" t="s">
        <v>53</v>
      </c>
      <c r="C32" s="53" t="s">
        <v>41</v>
      </c>
      <c r="D32" s="53" t="s">
        <v>46</v>
      </c>
      <c r="E32" s="54">
        <v>92959</v>
      </c>
      <c r="F32" s="55">
        <v>42211</v>
      </c>
      <c r="G32" s="56">
        <v>5</v>
      </c>
      <c r="H32" s="57" t="s">
        <v>12</v>
      </c>
      <c r="I32" s="71" t="s">
        <v>88</v>
      </c>
      <c r="K32" s="51"/>
      <c r="L32"/>
    </row>
    <row r="33" spans="1:12">
      <c r="A33" s="90" t="s">
        <v>89</v>
      </c>
      <c r="B33" s="53" t="s">
        <v>12</v>
      </c>
      <c r="C33" s="67" t="s">
        <v>41</v>
      </c>
      <c r="D33" s="53" t="s">
        <v>12</v>
      </c>
      <c r="E33" s="54">
        <v>92259</v>
      </c>
      <c r="F33" s="55" t="s">
        <v>12</v>
      </c>
      <c r="G33" s="56">
        <v>1</v>
      </c>
      <c r="H33" s="57" t="s">
        <v>12</v>
      </c>
      <c r="I33" s="71" t="s">
        <v>90</v>
      </c>
      <c r="K33" s="51"/>
      <c r="L33"/>
    </row>
    <row r="34" spans="1:12">
      <c r="A34" s="90" t="s">
        <v>91</v>
      </c>
      <c r="B34" s="53" t="s">
        <v>15</v>
      </c>
      <c r="C34" s="53" t="s">
        <v>16</v>
      </c>
      <c r="D34" s="53" t="s">
        <v>17</v>
      </c>
      <c r="E34" s="54">
        <v>92299</v>
      </c>
      <c r="F34" s="55">
        <v>42225</v>
      </c>
      <c r="G34" s="56">
        <v>3</v>
      </c>
      <c r="H34" s="57" t="s">
        <v>27</v>
      </c>
      <c r="I34" s="71" t="s">
        <v>92</v>
      </c>
      <c r="K34" s="51"/>
      <c r="L34"/>
    </row>
    <row r="35" spans="1:12">
      <c r="A35" s="90" t="s">
        <v>93</v>
      </c>
      <c r="B35" s="53" t="s">
        <v>38</v>
      </c>
      <c r="C35" s="53" t="s">
        <v>16</v>
      </c>
      <c r="D35" s="53" t="s">
        <v>12</v>
      </c>
      <c r="E35" s="54">
        <v>95586</v>
      </c>
      <c r="F35" s="55">
        <v>42232</v>
      </c>
      <c r="G35" s="56">
        <v>3</v>
      </c>
      <c r="H35" s="57" t="s">
        <v>18</v>
      </c>
      <c r="I35" s="71" t="s">
        <v>94</v>
      </c>
      <c r="K35" s="51"/>
      <c r="L35"/>
    </row>
    <row r="36" spans="1:12">
      <c r="A36" s="90" t="s">
        <v>95</v>
      </c>
      <c r="B36" s="53" t="s">
        <v>40</v>
      </c>
      <c r="C36" s="53" t="s">
        <v>12</v>
      </c>
      <c r="D36" s="53" t="s">
        <v>26</v>
      </c>
      <c r="E36" s="54">
        <v>95367</v>
      </c>
      <c r="F36" s="55">
        <v>42239</v>
      </c>
      <c r="G36" s="56">
        <v>2.9381443298969074</v>
      </c>
      <c r="H36" s="57" t="s">
        <v>27</v>
      </c>
      <c r="I36" s="71" t="s">
        <v>96</v>
      </c>
      <c r="K36" s="51"/>
      <c r="L36"/>
    </row>
    <row r="37" spans="1:12">
      <c r="A37" s="90" t="s">
        <v>97</v>
      </c>
      <c r="B37" s="53" t="s">
        <v>24</v>
      </c>
      <c r="C37" s="53" t="s">
        <v>25</v>
      </c>
      <c r="D37" s="53" t="s">
        <v>63</v>
      </c>
      <c r="E37" s="54">
        <v>79549</v>
      </c>
      <c r="F37" s="55">
        <v>42246</v>
      </c>
      <c r="G37" s="56">
        <v>3</v>
      </c>
      <c r="H37" s="57" t="s">
        <v>12</v>
      </c>
      <c r="I37" s="71" t="s">
        <v>98</v>
      </c>
      <c r="K37" s="51"/>
      <c r="L37"/>
    </row>
    <row r="38" spans="1:12">
      <c r="A38" s="90" t="s">
        <v>99</v>
      </c>
      <c r="B38" s="67" t="s">
        <v>21</v>
      </c>
      <c r="C38" s="53" t="s">
        <v>12</v>
      </c>
      <c r="D38" s="53" t="s">
        <v>46</v>
      </c>
      <c r="E38" s="54">
        <v>54463</v>
      </c>
      <c r="F38" s="55">
        <v>42253</v>
      </c>
      <c r="G38" s="56">
        <v>4</v>
      </c>
      <c r="H38" s="57" t="s">
        <v>27</v>
      </c>
      <c r="I38" s="71" t="s">
        <v>12</v>
      </c>
      <c r="K38" s="51"/>
      <c r="L38"/>
    </row>
    <row r="39" spans="1:12">
      <c r="A39" s="90" t="s">
        <v>100</v>
      </c>
      <c r="B39" s="53" t="s">
        <v>21</v>
      </c>
      <c r="C39" s="53" t="s">
        <v>33</v>
      </c>
      <c r="D39" s="53" t="s">
        <v>26</v>
      </c>
      <c r="E39" s="54">
        <v>89781</v>
      </c>
      <c r="F39" s="55">
        <v>42260</v>
      </c>
      <c r="G39" s="56">
        <v>2.9263157894736844</v>
      </c>
      <c r="H39" s="57" t="s">
        <v>35</v>
      </c>
      <c r="I39" s="71" t="s">
        <v>101</v>
      </c>
      <c r="K39" s="51"/>
      <c r="L39"/>
    </row>
    <row r="40" spans="1:12">
      <c r="A40" s="90" t="s">
        <v>102</v>
      </c>
      <c r="B40" s="53" t="s">
        <v>21</v>
      </c>
      <c r="C40" s="53" t="s">
        <v>16</v>
      </c>
      <c r="D40" s="53" t="s">
        <v>12</v>
      </c>
      <c r="E40" s="54">
        <v>64796</v>
      </c>
      <c r="F40" s="55">
        <v>42267</v>
      </c>
      <c r="G40" s="56">
        <v>2.9263157894736844</v>
      </c>
      <c r="H40" s="57" t="s">
        <v>18</v>
      </c>
      <c r="I40" s="71" t="s">
        <v>103</v>
      </c>
      <c r="K40" s="51"/>
      <c r="L40"/>
    </row>
    <row r="41" spans="1:12">
      <c r="A41" s="90" t="s">
        <v>104</v>
      </c>
      <c r="B41" s="53" t="s">
        <v>24</v>
      </c>
      <c r="C41" s="53" t="s">
        <v>41</v>
      </c>
      <c r="D41" s="53" t="s">
        <v>46</v>
      </c>
      <c r="E41" s="54">
        <v>52093</v>
      </c>
      <c r="F41" s="55">
        <v>42274</v>
      </c>
      <c r="G41" s="56">
        <v>5</v>
      </c>
      <c r="H41" s="57" t="s">
        <v>12</v>
      </c>
      <c r="I41" s="71" t="s">
        <v>105</v>
      </c>
      <c r="K41" s="51"/>
      <c r="L41"/>
    </row>
    <row r="42" spans="1:12">
      <c r="A42" s="90" t="s">
        <v>106</v>
      </c>
      <c r="B42" s="53" t="s">
        <v>40</v>
      </c>
      <c r="C42" s="53" t="s">
        <v>16</v>
      </c>
      <c r="D42" s="53" t="s">
        <v>46</v>
      </c>
      <c r="E42" s="54">
        <v>48224</v>
      </c>
      <c r="F42" s="55">
        <v>42281</v>
      </c>
      <c r="G42" s="56">
        <v>3</v>
      </c>
      <c r="H42" s="57" t="s">
        <v>12</v>
      </c>
      <c r="I42" s="71" t="s">
        <v>107</v>
      </c>
      <c r="K42" s="51"/>
      <c r="L42"/>
    </row>
    <row r="43" spans="1:12">
      <c r="A43" s="90" t="s">
        <v>108</v>
      </c>
      <c r="B43" s="53" t="s">
        <v>53</v>
      </c>
      <c r="C43" s="53" t="s">
        <v>10</v>
      </c>
      <c r="D43" s="53" t="s">
        <v>46</v>
      </c>
      <c r="E43" s="54">
        <v>64268.634615384617</v>
      </c>
      <c r="F43" s="55" t="s">
        <v>12</v>
      </c>
      <c r="G43" s="56">
        <v>4</v>
      </c>
      <c r="H43" s="57" t="s">
        <v>35</v>
      </c>
      <c r="I43" s="71" t="s">
        <v>109</v>
      </c>
      <c r="K43" s="51"/>
      <c r="L43"/>
    </row>
    <row r="44" spans="1:12">
      <c r="A44" s="90" t="s">
        <v>110</v>
      </c>
      <c r="B44" s="53" t="s">
        <v>21</v>
      </c>
      <c r="C44" s="53" t="s">
        <v>33</v>
      </c>
      <c r="D44" s="53" t="s">
        <v>17</v>
      </c>
      <c r="E44" s="54">
        <v>33956</v>
      </c>
      <c r="F44" s="55">
        <v>42295</v>
      </c>
      <c r="G44" s="56">
        <v>2.8913043478260869</v>
      </c>
      <c r="H44" s="57" t="s">
        <v>12</v>
      </c>
      <c r="I44" s="71" t="s">
        <v>111</v>
      </c>
      <c r="K44" s="51"/>
      <c r="L44"/>
    </row>
    <row r="45" spans="1:12">
      <c r="A45" s="90" t="s">
        <v>112</v>
      </c>
      <c r="B45" s="67" t="s">
        <v>53</v>
      </c>
      <c r="C45" s="53" t="s">
        <v>12</v>
      </c>
      <c r="D45" s="53" t="s">
        <v>63</v>
      </c>
      <c r="E45" s="54">
        <v>64913</v>
      </c>
      <c r="F45" s="55">
        <v>42302</v>
      </c>
      <c r="G45" s="56">
        <v>1</v>
      </c>
      <c r="H45" s="57" t="s">
        <v>35</v>
      </c>
      <c r="I45" s="71" t="s">
        <v>113</v>
      </c>
      <c r="K45" s="51"/>
      <c r="L45"/>
    </row>
    <row r="46" spans="1:12">
      <c r="A46" s="90" t="s">
        <v>114</v>
      </c>
      <c r="B46" s="53" t="s">
        <v>21</v>
      </c>
      <c r="C46" s="53" t="s">
        <v>41</v>
      </c>
      <c r="D46" s="53" t="s">
        <v>63</v>
      </c>
      <c r="E46" s="54">
        <v>35326</v>
      </c>
      <c r="F46" s="55">
        <v>42309</v>
      </c>
      <c r="G46" s="56">
        <v>2.912087912087912</v>
      </c>
      <c r="H46" s="57" t="s">
        <v>35</v>
      </c>
      <c r="I46" s="71" t="s">
        <v>115</v>
      </c>
      <c r="K46" s="51"/>
      <c r="L46"/>
    </row>
    <row r="47" spans="1:12">
      <c r="A47" s="90" t="s">
        <v>116</v>
      </c>
      <c r="B47" s="53" t="s">
        <v>40</v>
      </c>
      <c r="C47" s="53" t="s">
        <v>10</v>
      </c>
      <c r="D47" s="53" t="s">
        <v>12</v>
      </c>
      <c r="E47" s="54">
        <v>81610</v>
      </c>
      <c r="F47" s="55">
        <v>42316</v>
      </c>
      <c r="G47" s="56">
        <v>1</v>
      </c>
      <c r="H47" s="57" t="s">
        <v>12</v>
      </c>
      <c r="I47" s="71" t="s">
        <v>117</v>
      </c>
      <c r="K47" s="51"/>
      <c r="L47"/>
    </row>
    <row r="48" spans="1:12">
      <c r="A48" s="90" t="s">
        <v>118</v>
      </c>
      <c r="B48" s="53" t="s">
        <v>12</v>
      </c>
      <c r="C48" s="53" t="s">
        <v>16</v>
      </c>
      <c r="D48" s="53" t="s">
        <v>12</v>
      </c>
      <c r="E48" s="54">
        <v>58962</v>
      </c>
      <c r="F48" s="55">
        <v>42323</v>
      </c>
      <c r="G48" s="56">
        <v>3</v>
      </c>
      <c r="H48" s="57" t="s">
        <v>18</v>
      </c>
      <c r="I48" s="71" t="s">
        <v>19</v>
      </c>
      <c r="K48" s="51"/>
      <c r="L48"/>
    </row>
    <row r="49" spans="1:12">
      <c r="A49" s="90" t="s">
        <v>119</v>
      </c>
      <c r="B49" s="53" t="s">
        <v>40</v>
      </c>
      <c r="C49" s="53" t="s">
        <v>33</v>
      </c>
      <c r="D49" s="53" t="s">
        <v>17</v>
      </c>
      <c r="E49" s="54">
        <v>92701</v>
      </c>
      <c r="F49" s="55">
        <v>42330</v>
      </c>
      <c r="G49" s="56">
        <v>3</v>
      </c>
      <c r="H49" s="57" t="s">
        <v>18</v>
      </c>
      <c r="I49" s="71" t="s">
        <v>120</v>
      </c>
      <c r="K49" s="51"/>
      <c r="L49"/>
    </row>
    <row r="50" spans="1:12">
      <c r="A50" s="90" t="s">
        <v>121</v>
      </c>
      <c r="B50" s="53" t="s">
        <v>40</v>
      </c>
      <c r="C50" s="53" t="s">
        <v>16</v>
      </c>
      <c r="D50" s="53" t="s">
        <v>34</v>
      </c>
      <c r="E50" s="54">
        <v>58245</v>
      </c>
      <c r="F50" s="55">
        <v>42337</v>
      </c>
      <c r="G50" s="56">
        <v>4</v>
      </c>
      <c r="H50" s="57" t="s">
        <v>12</v>
      </c>
      <c r="I50" s="71" t="s">
        <v>122</v>
      </c>
      <c r="K50" s="51"/>
      <c r="L50"/>
    </row>
    <row r="51" spans="1:12">
      <c r="A51" s="90" t="s">
        <v>123</v>
      </c>
      <c r="B51" s="53" t="s">
        <v>24</v>
      </c>
      <c r="C51" s="53" t="s">
        <v>10</v>
      </c>
      <c r="D51" s="53" t="s">
        <v>12</v>
      </c>
      <c r="E51" s="54">
        <v>66513</v>
      </c>
      <c r="F51" s="55">
        <v>42344</v>
      </c>
      <c r="G51" s="56">
        <v>2</v>
      </c>
      <c r="H51" s="57" t="s">
        <v>18</v>
      </c>
      <c r="I51" s="71" t="s">
        <v>36</v>
      </c>
      <c r="K51" s="51"/>
      <c r="L51"/>
    </row>
    <row r="52" spans="1:12">
      <c r="A52" s="90" t="s">
        <v>124</v>
      </c>
      <c r="B52" s="53" t="s">
        <v>15</v>
      </c>
      <c r="C52" s="53" t="s">
        <v>16</v>
      </c>
      <c r="D52" s="53" t="s">
        <v>17</v>
      </c>
      <c r="E52" s="54">
        <v>78720</v>
      </c>
      <c r="F52" s="55">
        <v>42351</v>
      </c>
      <c r="G52" s="56">
        <v>5</v>
      </c>
      <c r="H52" s="57" t="s">
        <v>35</v>
      </c>
      <c r="I52" s="71" t="s">
        <v>109</v>
      </c>
      <c r="K52" s="51"/>
      <c r="L52"/>
    </row>
    <row r="53" spans="1:12">
      <c r="A53" s="90" t="s">
        <v>125</v>
      </c>
      <c r="B53" s="53" t="s">
        <v>40</v>
      </c>
      <c r="C53" s="53" t="s">
        <v>12</v>
      </c>
      <c r="D53" s="53" t="s">
        <v>12</v>
      </c>
      <c r="E53" s="54">
        <v>30686</v>
      </c>
      <c r="F53" s="55" t="s">
        <v>12</v>
      </c>
      <c r="G53" s="56">
        <v>2</v>
      </c>
      <c r="H53" s="57" t="s">
        <v>35</v>
      </c>
      <c r="I53" s="71" t="s">
        <v>126</v>
      </c>
      <c r="K53" s="51"/>
      <c r="L53"/>
    </row>
    <row r="54" spans="1:12">
      <c r="A54" s="90" t="s">
        <v>127</v>
      </c>
      <c r="B54" s="53" t="s">
        <v>38</v>
      </c>
      <c r="C54" s="53" t="s">
        <v>25</v>
      </c>
      <c r="D54" s="53" t="s">
        <v>34</v>
      </c>
      <c r="E54" s="54">
        <v>39423</v>
      </c>
      <c r="F54" s="55">
        <v>42365</v>
      </c>
      <c r="G54" s="56">
        <v>5</v>
      </c>
      <c r="H54" s="57" t="s">
        <v>12</v>
      </c>
      <c r="I54" s="71" t="s">
        <v>128</v>
      </c>
      <c r="K54" s="51"/>
      <c r="L54"/>
    </row>
    <row r="55" spans="1:12">
      <c r="A55" s="90" t="s">
        <v>129</v>
      </c>
      <c r="B55" s="53" t="s">
        <v>15</v>
      </c>
      <c r="C55" s="67" t="s">
        <v>41</v>
      </c>
      <c r="D55" s="53" t="s">
        <v>12</v>
      </c>
      <c r="E55" s="54">
        <v>30280</v>
      </c>
      <c r="F55" s="55">
        <v>42372</v>
      </c>
      <c r="G55" s="56">
        <v>1</v>
      </c>
      <c r="H55" s="57" t="s">
        <v>12</v>
      </c>
      <c r="I55" s="71" t="s">
        <v>130</v>
      </c>
      <c r="K55" s="51"/>
      <c r="L55"/>
    </row>
    <row r="56" spans="1:12">
      <c r="A56" s="90" t="s">
        <v>131</v>
      </c>
      <c r="B56" s="53" t="s">
        <v>15</v>
      </c>
      <c r="C56" s="53" t="s">
        <v>10</v>
      </c>
      <c r="D56" s="53" t="s">
        <v>46</v>
      </c>
      <c r="E56" s="54">
        <v>33352</v>
      </c>
      <c r="F56" s="55">
        <v>42379</v>
      </c>
      <c r="G56" s="56">
        <v>3</v>
      </c>
      <c r="H56" s="57" t="s">
        <v>35</v>
      </c>
      <c r="I56" s="71" t="s">
        <v>70</v>
      </c>
      <c r="K56" s="51"/>
      <c r="L56"/>
    </row>
    <row r="57" spans="1:12">
      <c r="A57" s="90" t="s">
        <v>132</v>
      </c>
      <c r="B57" s="53" t="s">
        <v>53</v>
      </c>
      <c r="C57" s="53" t="s">
        <v>41</v>
      </c>
      <c r="D57" s="53" t="s">
        <v>46</v>
      </c>
      <c r="E57" s="54">
        <v>75633</v>
      </c>
      <c r="F57" s="55">
        <v>42386</v>
      </c>
      <c r="G57" s="56">
        <v>5</v>
      </c>
      <c r="H57" s="57" t="s">
        <v>18</v>
      </c>
      <c r="I57" s="71" t="s">
        <v>133</v>
      </c>
      <c r="K57" s="51"/>
      <c r="L57"/>
    </row>
    <row r="58" spans="1:12">
      <c r="A58" s="90" t="s">
        <v>134</v>
      </c>
      <c r="B58" s="53" t="s">
        <v>40</v>
      </c>
      <c r="C58" s="53" t="s">
        <v>12</v>
      </c>
      <c r="D58" s="53" t="s">
        <v>26</v>
      </c>
      <c r="E58" s="54">
        <v>74815</v>
      </c>
      <c r="F58" s="55">
        <v>42393</v>
      </c>
      <c r="G58" s="56">
        <v>5</v>
      </c>
      <c r="H58" s="57" t="s">
        <v>35</v>
      </c>
      <c r="I58" s="71" t="s">
        <v>135</v>
      </c>
      <c r="K58" s="51"/>
      <c r="L58"/>
    </row>
    <row r="59" spans="1:12">
      <c r="A59" s="90" t="s">
        <v>136</v>
      </c>
      <c r="B59" s="53" t="s">
        <v>24</v>
      </c>
      <c r="C59" s="53" t="s">
        <v>25</v>
      </c>
      <c r="D59" s="53" t="s">
        <v>63</v>
      </c>
      <c r="E59" s="54">
        <v>60011</v>
      </c>
      <c r="F59" s="55">
        <v>42400</v>
      </c>
      <c r="G59" s="56">
        <v>1</v>
      </c>
      <c r="H59" s="57" t="s">
        <v>27</v>
      </c>
      <c r="I59" s="71" t="s">
        <v>137</v>
      </c>
      <c r="K59" s="51"/>
      <c r="L59"/>
    </row>
    <row r="60" spans="1:12">
      <c r="A60" s="90" t="s">
        <v>138</v>
      </c>
      <c r="B60" s="67" t="s">
        <v>15</v>
      </c>
      <c r="C60" s="53" t="s">
        <v>12</v>
      </c>
      <c r="D60" s="53" t="s">
        <v>34</v>
      </c>
      <c r="E60" s="54">
        <v>96949</v>
      </c>
      <c r="F60" s="55">
        <v>42407</v>
      </c>
      <c r="G60" s="56">
        <v>3</v>
      </c>
      <c r="H60" s="57" t="s">
        <v>12</v>
      </c>
      <c r="I60" s="71" t="s">
        <v>84</v>
      </c>
      <c r="K60" s="51"/>
      <c r="L60"/>
    </row>
    <row r="61" spans="1:12">
      <c r="A61" s="90" t="s">
        <v>139</v>
      </c>
      <c r="B61" s="53" t="s">
        <v>38</v>
      </c>
      <c r="C61" s="67" t="s">
        <v>41</v>
      </c>
      <c r="D61" s="53" t="s">
        <v>12</v>
      </c>
      <c r="E61" s="54">
        <v>84924</v>
      </c>
      <c r="F61" s="55">
        <v>42414</v>
      </c>
      <c r="G61" s="56">
        <v>5</v>
      </c>
      <c r="H61" s="57" t="s">
        <v>27</v>
      </c>
      <c r="I61" s="71" t="s">
        <v>140</v>
      </c>
      <c r="K61" s="51"/>
      <c r="L61"/>
    </row>
    <row r="62" spans="1:12">
      <c r="A62" s="90" t="s">
        <v>141</v>
      </c>
      <c r="B62" s="53" t="s">
        <v>38</v>
      </c>
      <c r="C62" s="53" t="s">
        <v>10</v>
      </c>
      <c r="D62" s="53" t="s">
        <v>26</v>
      </c>
      <c r="E62" s="54">
        <v>82033</v>
      </c>
      <c r="F62" s="55">
        <v>42421</v>
      </c>
      <c r="G62" s="56">
        <v>1</v>
      </c>
      <c r="H62" s="57" t="s">
        <v>12</v>
      </c>
      <c r="I62" s="71" t="s">
        <v>117</v>
      </c>
      <c r="K62" s="51"/>
      <c r="L62"/>
    </row>
    <row r="63" spans="1:12">
      <c r="A63" s="90" t="s">
        <v>142</v>
      </c>
      <c r="B63" s="53" t="s">
        <v>12</v>
      </c>
      <c r="C63" s="53" t="s">
        <v>41</v>
      </c>
      <c r="D63" s="53" t="s">
        <v>17</v>
      </c>
      <c r="E63" s="54">
        <v>64763.364705882355</v>
      </c>
      <c r="F63" s="55" t="s">
        <v>12</v>
      </c>
      <c r="G63" s="56">
        <v>5</v>
      </c>
      <c r="H63" s="57" t="s">
        <v>12</v>
      </c>
      <c r="I63" s="71" t="s">
        <v>143</v>
      </c>
      <c r="K63" s="51"/>
      <c r="L63"/>
    </row>
    <row r="64" spans="1:12">
      <c r="A64" s="90" t="s">
        <v>144</v>
      </c>
      <c r="B64" s="67" t="s">
        <v>15</v>
      </c>
      <c r="C64" s="53" t="s">
        <v>12</v>
      </c>
      <c r="D64" s="53" t="s">
        <v>63</v>
      </c>
      <c r="E64" s="54">
        <v>31499</v>
      </c>
      <c r="F64" s="55">
        <v>42435</v>
      </c>
      <c r="G64" s="56">
        <v>2</v>
      </c>
      <c r="H64" s="57" t="s">
        <v>12</v>
      </c>
      <c r="I64" s="71" t="s">
        <v>101</v>
      </c>
      <c r="K64" s="51"/>
      <c r="L64"/>
    </row>
    <row r="65" spans="1:12">
      <c r="A65" s="90" t="s">
        <v>145</v>
      </c>
      <c r="B65" s="53" t="s">
        <v>40</v>
      </c>
      <c r="C65" s="53" t="s">
        <v>33</v>
      </c>
      <c r="D65" s="53" t="s">
        <v>46</v>
      </c>
      <c r="E65" s="54">
        <v>97981</v>
      </c>
      <c r="F65" s="55">
        <v>42442</v>
      </c>
      <c r="G65" s="56">
        <v>5</v>
      </c>
      <c r="H65" s="57" t="s">
        <v>35</v>
      </c>
      <c r="I65" s="71" t="s">
        <v>146</v>
      </c>
      <c r="K65" s="51"/>
      <c r="L65"/>
    </row>
    <row r="66" spans="1:12">
      <c r="A66" s="90" t="s">
        <v>147</v>
      </c>
      <c r="B66" s="53" t="s">
        <v>15</v>
      </c>
      <c r="C66" s="53" t="s">
        <v>16</v>
      </c>
      <c r="D66" s="53" t="s">
        <v>26</v>
      </c>
      <c r="E66" s="54">
        <v>36541</v>
      </c>
      <c r="F66" s="55">
        <v>42449</v>
      </c>
      <c r="G66" s="56">
        <v>2</v>
      </c>
      <c r="H66" s="57" t="s">
        <v>18</v>
      </c>
      <c r="I66" s="71" t="s">
        <v>148</v>
      </c>
      <c r="K66" s="51"/>
      <c r="L66"/>
    </row>
    <row r="67" spans="1:12">
      <c r="A67" s="90" t="s">
        <v>149</v>
      </c>
      <c r="B67" s="53" t="s">
        <v>24</v>
      </c>
      <c r="C67" s="53" t="s">
        <v>33</v>
      </c>
      <c r="D67" s="53" t="s">
        <v>34</v>
      </c>
      <c r="E67" s="54">
        <v>84737</v>
      </c>
      <c r="F67" s="55">
        <v>42456</v>
      </c>
      <c r="G67" s="56">
        <v>1</v>
      </c>
      <c r="H67" s="57" t="s">
        <v>27</v>
      </c>
      <c r="I67" s="71" t="s">
        <v>150</v>
      </c>
      <c r="K67" s="51"/>
      <c r="L67"/>
    </row>
    <row r="68" spans="1:12">
      <c r="A68" s="90" t="s">
        <v>151</v>
      </c>
      <c r="B68" s="53" t="s">
        <v>38</v>
      </c>
      <c r="C68" s="53" t="s">
        <v>10</v>
      </c>
      <c r="D68" s="53" t="s">
        <v>34</v>
      </c>
      <c r="E68" s="54">
        <v>33468</v>
      </c>
      <c r="F68" s="55">
        <v>42463</v>
      </c>
      <c r="G68" s="56">
        <v>4</v>
      </c>
      <c r="H68" s="57" t="s">
        <v>27</v>
      </c>
      <c r="I68" s="71" t="s">
        <v>152</v>
      </c>
      <c r="K68" s="51"/>
      <c r="L68"/>
    </row>
    <row r="69" spans="1:12">
      <c r="A69" s="90" t="s">
        <v>153</v>
      </c>
      <c r="B69" s="67" t="s">
        <v>38</v>
      </c>
      <c r="C69" s="53" t="s">
        <v>12</v>
      </c>
      <c r="D69" s="53" t="s">
        <v>63</v>
      </c>
      <c r="E69" s="54">
        <v>96365</v>
      </c>
      <c r="F69" s="55">
        <v>42470</v>
      </c>
      <c r="G69" s="56">
        <v>3</v>
      </c>
      <c r="H69" s="57" t="s">
        <v>18</v>
      </c>
      <c r="I69" s="71" t="s">
        <v>154</v>
      </c>
      <c r="K69" s="51"/>
      <c r="L69"/>
    </row>
    <row r="70" spans="1:12">
      <c r="A70" s="90" t="s">
        <v>155</v>
      </c>
      <c r="B70" s="53" t="s">
        <v>21</v>
      </c>
      <c r="C70" s="53" t="s">
        <v>25</v>
      </c>
      <c r="D70" s="53" t="s">
        <v>34</v>
      </c>
      <c r="E70" s="54">
        <v>61942</v>
      </c>
      <c r="F70" s="55">
        <v>42477</v>
      </c>
      <c r="G70" s="56">
        <v>3</v>
      </c>
      <c r="H70" s="57" t="s">
        <v>35</v>
      </c>
      <c r="I70" s="71" t="s">
        <v>156</v>
      </c>
      <c r="K70" s="51"/>
      <c r="L70"/>
    </row>
    <row r="71" spans="1:12">
      <c r="A71" s="90" t="s">
        <v>157</v>
      </c>
      <c r="B71" s="53" t="s">
        <v>38</v>
      </c>
      <c r="C71" s="53" t="s">
        <v>10</v>
      </c>
      <c r="D71" s="53" t="s">
        <v>46</v>
      </c>
      <c r="E71" s="54">
        <v>41467</v>
      </c>
      <c r="F71" s="55">
        <v>42484</v>
      </c>
      <c r="G71" s="56">
        <v>2</v>
      </c>
      <c r="H71" s="57" t="s">
        <v>12</v>
      </c>
      <c r="I71" s="71" t="s">
        <v>72</v>
      </c>
      <c r="K71" s="51"/>
      <c r="L71"/>
    </row>
    <row r="72" spans="1:12">
      <c r="A72" s="90" t="s">
        <v>158</v>
      </c>
      <c r="B72" s="53" t="s">
        <v>53</v>
      </c>
      <c r="C72" s="53" t="s">
        <v>10</v>
      </c>
      <c r="D72" s="53" t="s">
        <v>34</v>
      </c>
      <c r="E72" s="54">
        <v>77096</v>
      </c>
      <c r="F72" s="55">
        <v>42491</v>
      </c>
      <c r="G72" s="56">
        <v>1</v>
      </c>
      <c r="H72" s="57" t="s">
        <v>12</v>
      </c>
      <c r="I72" s="71" t="s">
        <v>159</v>
      </c>
      <c r="K72" s="51"/>
      <c r="L72"/>
    </row>
    <row r="73" spans="1:12">
      <c r="A73" s="90" t="s">
        <v>160</v>
      </c>
      <c r="B73" s="53" t="s">
        <v>15</v>
      </c>
      <c r="C73" s="53" t="s">
        <v>25</v>
      </c>
      <c r="D73" s="53" t="s">
        <v>63</v>
      </c>
      <c r="E73" s="54">
        <v>69952</v>
      </c>
      <c r="F73" s="55">
        <v>42498</v>
      </c>
      <c r="G73" s="56">
        <v>5</v>
      </c>
      <c r="H73" s="57" t="s">
        <v>35</v>
      </c>
      <c r="I73" s="71" t="s">
        <v>12</v>
      </c>
      <c r="K73" s="51"/>
      <c r="L73"/>
    </row>
    <row r="74" spans="1:12">
      <c r="A74" s="90" t="s">
        <v>161</v>
      </c>
      <c r="B74" s="53" t="s">
        <v>15</v>
      </c>
      <c r="C74" s="53" t="s">
        <v>41</v>
      </c>
      <c r="D74" s="53" t="s">
        <v>26</v>
      </c>
      <c r="E74" s="54">
        <v>85065</v>
      </c>
      <c r="F74" s="55">
        <v>42505</v>
      </c>
      <c r="G74" s="56">
        <v>3</v>
      </c>
      <c r="H74" s="57" t="s">
        <v>12</v>
      </c>
      <c r="I74" s="71" t="s">
        <v>162</v>
      </c>
      <c r="K74" s="51"/>
      <c r="L74"/>
    </row>
    <row r="75" spans="1:12">
      <c r="A75" s="90" t="s">
        <v>163</v>
      </c>
      <c r="B75" s="53" t="s">
        <v>53</v>
      </c>
      <c r="C75" s="53" t="s">
        <v>41</v>
      </c>
      <c r="D75" s="53" t="s">
        <v>34</v>
      </c>
      <c r="E75" s="54">
        <v>56512</v>
      </c>
      <c r="F75" s="55">
        <v>42512</v>
      </c>
      <c r="G75" s="56">
        <v>2.8571428571428572</v>
      </c>
      <c r="H75" s="57" t="s">
        <v>18</v>
      </c>
      <c r="I75" s="71" t="s">
        <v>47</v>
      </c>
      <c r="K75" s="51"/>
      <c r="L75"/>
    </row>
    <row r="76" spans="1:12">
      <c r="A76" s="90" t="s">
        <v>164</v>
      </c>
      <c r="B76" s="53" t="s">
        <v>24</v>
      </c>
      <c r="C76" s="53" t="s">
        <v>25</v>
      </c>
      <c r="D76" s="53" t="s">
        <v>34</v>
      </c>
      <c r="E76" s="54">
        <v>91101</v>
      </c>
      <c r="F76" s="55">
        <v>42519</v>
      </c>
      <c r="G76" s="56">
        <v>4</v>
      </c>
      <c r="H76" s="57" t="s">
        <v>35</v>
      </c>
      <c r="I76" s="71" t="s">
        <v>146</v>
      </c>
      <c r="K76" s="51"/>
      <c r="L76"/>
    </row>
    <row r="77" spans="1:12">
      <c r="A77" s="90" t="s">
        <v>165</v>
      </c>
      <c r="B77" s="67" t="s">
        <v>38</v>
      </c>
      <c r="C77" s="53" t="s">
        <v>12</v>
      </c>
      <c r="D77" s="53" t="s">
        <v>17</v>
      </c>
      <c r="E77" s="54">
        <v>41243</v>
      </c>
      <c r="F77" s="55">
        <v>42526</v>
      </c>
      <c r="G77" s="56">
        <v>2.838709677419355</v>
      </c>
      <c r="H77" s="57" t="s">
        <v>12</v>
      </c>
      <c r="I77" s="71" t="s">
        <v>92</v>
      </c>
      <c r="K77" s="51"/>
      <c r="L77"/>
    </row>
    <row r="78" spans="1:12">
      <c r="A78" s="90" t="s">
        <v>166</v>
      </c>
      <c r="B78" s="53" t="s">
        <v>12</v>
      </c>
      <c r="C78" s="53" t="s">
        <v>25</v>
      </c>
      <c r="D78" s="53" t="s">
        <v>12</v>
      </c>
      <c r="E78" s="54">
        <v>96142</v>
      </c>
      <c r="F78" s="55">
        <v>42533</v>
      </c>
      <c r="G78" s="56">
        <v>1</v>
      </c>
      <c r="H78" s="57" t="s">
        <v>18</v>
      </c>
      <c r="I78" s="71" t="s">
        <v>167</v>
      </c>
      <c r="K78" s="51"/>
      <c r="L78"/>
    </row>
    <row r="79" spans="1:12">
      <c r="A79" s="90" t="s">
        <v>168</v>
      </c>
      <c r="B79" s="53" t="s">
        <v>15</v>
      </c>
      <c r="C79" s="53" t="s">
        <v>33</v>
      </c>
      <c r="D79" s="53" t="s">
        <v>34</v>
      </c>
      <c r="E79" s="54">
        <v>94301</v>
      </c>
      <c r="F79" s="55">
        <v>42540</v>
      </c>
      <c r="G79" s="56">
        <v>1</v>
      </c>
      <c r="H79" s="57" t="s">
        <v>27</v>
      </c>
      <c r="I79" s="71" t="s">
        <v>117</v>
      </c>
      <c r="K79" s="51"/>
      <c r="L79"/>
    </row>
    <row r="80" spans="1:12">
      <c r="A80" s="90" t="s">
        <v>169</v>
      </c>
      <c r="B80" s="67" t="s">
        <v>30</v>
      </c>
      <c r="C80" s="53" t="s">
        <v>12</v>
      </c>
      <c r="D80" s="53" t="s">
        <v>46</v>
      </c>
      <c r="E80" s="54">
        <v>69166</v>
      </c>
      <c r="F80" s="55">
        <v>42547</v>
      </c>
      <c r="G80" s="56">
        <v>1</v>
      </c>
      <c r="H80" s="57" t="s">
        <v>35</v>
      </c>
      <c r="I80" s="71" t="s">
        <v>170</v>
      </c>
      <c r="K80" s="51"/>
      <c r="L80"/>
    </row>
    <row r="81" spans="1:12">
      <c r="A81" s="90" t="s">
        <v>171</v>
      </c>
      <c r="B81" s="67" t="s">
        <v>38</v>
      </c>
      <c r="C81" s="53" t="s">
        <v>12</v>
      </c>
      <c r="D81" s="53" t="s">
        <v>46</v>
      </c>
      <c r="E81" s="54">
        <v>78245</v>
      </c>
      <c r="F81" s="55">
        <v>42554</v>
      </c>
      <c r="G81" s="56">
        <v>2</v>
      </c>
      <c r="H81" s="57" t="s">
        <v>12</v>
      </c>
      <c r="I81" s="71" t="s">
        <v>172</v>
      </c>
      <c r="K81" s="51"/>
      <c r="L81"/>
    </row>
    <row r="82" spans="1:12">
      <c r="A82" s="90" t="s">
        <v>173</v>
      </c>
      <c r="B82" s="53" t="s">
        <v>40</v>
      </c>
      <c r="C82" s="53" t="s">
        <v>25</v>
      </c>
      <c r="D82" s="53" t="s">
        <v>26</v>
      </c>
      <c r="E82" s="54">
        <v>66079</v>
      </c>
      <c r="F82" s="55">
        <v>42561</v>
      </c>
      <c r="G82" s="56">
        <v>2</v>
      </c>
      <c r="H82" s="57" t="s">
        <v>18</v>
      </c>
      <c r="I82" s="71" t="s">
        <v>174</v>
      </c>
      <c r="K82" s="51"/>
      <c r="L82"/>
    </row>
    <row r="83" spans="1:12">
      <c r="A83" s="90" t="s">
        <v>175</v>
      </c>
      <c r="B83" s="53" t="s">
        <v>15</v>
      </c>
      <c r="C83" s="53" t="s">
        <v>41</v>
      </c>
      <c r="D83" s="53" t="s">
        <v>34</v>
      </c>
      <c r="E83" s="54">
        <v>63575.515151515152</v>
      </c>
      <c r="F83" s="55" t="s">
        <v>12</v>
      </c>
      <c r="G83" s="56">
        <v>2.9649122807017543</v>
      </c>
      <c r="H83" s="57" t="s">
        <v>12</v>
      </c>
      <c r="I83" s="71" t="s">
        <v>86</v>
      </c>
      <c r="K83" s="51"/>
      <c r="L83"/>
    </row>
    <row r="84" spans="1:12">
      <c r="A84" s="90" t="s">
        <v>176</v>
      </c>
      <c r="B84" s="53" t="s">
        <v>30</v>
      </c>
      <c r="C84" s="53" t="s">
        <v>25</v>
      </c>
      <c r="D84" s="53" t="s">
        <v>26</v>
      </c>
      <c r="E84" s="54">
        <v>95621</v>
      </c>
      <c r="F84" s="55">
        <v>42575</v>
      </c>
      <c r="G84" s="56">
        <v>3</v>
      </c>
      <c r="H84" s="57" t="s">
        <v>35</v>
      </c>
      <c r="I84" s="71" t="s">
        <v>177</v>
      </c>
      <c r="K84" s="51"/>
      <c r="L84"/>
    </row>
    <row r="85" spans="1:12">
      <c r="A85" s="90" t="s">
        <v>178</v>
      </c>
      <c r="B85" s="53" t="s">
        <v>15</v>
      </c>
      <c r="C85" s="53" t="s">
        <v>33</v>
      </c>
      <c r="D85" s="53" t="s">
        <v>46</v>
      </c>
      <c r="E85" s="54">
        <v>42262</v>
      </c>
      <c r="F85" s="55">
        <v>42582</v>
      </c>
      <c r="G85" s="56">
        <v>1</v>
      </c>
      <c r="H85" s="57" t="s">
        <v>12</v>
      </c>
      <c r="I85" s="71" t="s">
        <v>179</v>
      </c>
      <c r="K85" s="51"/>
      <c r="L85"/>
    </row>
    <row r="86" spans="1:12">
      <c r="A86" s="90" t="s">
        <v>180</v>
      </c>
      <c r="B86" s="53" t="s">
        <v>38</v>
      </c>
      <c r="C86" s="53" t="s">
        <v>25</v>
      </c>
      <c r="D86" s="53" t="s">
        <v>34</v>
      </c>
      <c r="E86" s="54">
        <v>99621</v>
      </c>
      <c r="F86" s="55">
        <v>42589</v>
      </c>
      <c r="G86" s="56">
        <v>3</v>
      </c>
      <c r="H86" s="57" t="s">
        <v>18</v>
      </c>
      <c r="I86" s="71" t="s">
        <v>181</v>
      </c>
      <c r="K86" s="51"/>
      <c r="L86"/>
    </row>
    <row r="87" spans="1:12">
      <c r="A87" s="90" t="s">
        <v>182</v>
      </c>
      <c r="B87" s="53" t="s">
        <v>24</v>
      </c>
      <c r="C87" s="53" t="s">
        <v>41</v>
      </c>
      <c r="D87" s="53" t="s">
        <v>34</v>
      </c>
      <c r="E87" s="54">
        <v>44682</v>
      </c>
      <c r="F87" s="55">
        <v>42596</v>
      </c>
      <c r="G87" s="56">
        <v>4</v>
      </c>
      <c r="H87" s="57" t="s">
        <v>35</v>
      </c>
      <c r="I87" s="71" t="s">
        <v>111</v>
      </c>
      <c r="K87" s="51"/>
      <c r="L87"/>
    </row>
    <row r="88" spans="1:12">
      <c r="A88" s="90" t="s">
        <v>183</v>
      </c>
      <c r="B88" s="53" t="s">
        <v>40</v>
      </c>
      <c r="C88" s="53" t="s">
        <v>10</v>
      </c>
      <c r="D88" s="53" t="s">
        <v>12</v>
      </c>
      <c r="E88" s="54">
        <v>35163</v>
      </c>
      <c r="F88" s="55">
        <v>42603</v>
      </c>
      <c r="G88" s="56">
        <v>5</v>
      </c>
      <c r="H88" s="57" t="s">
        <v>18</v>
      </c>
      <c r="I88" s="71" t="s">
        <v>184</v>
      </c>
      <c r="K88" s="51"/>
      <c r="L88"/>
    </row>
    <row r="89" spans="1:12">
      <c r="A89" s="90" t="s">
        <v>185</v>
      </c>
      <c r="B89" s="53" t="s">
        <v>40</v>
      </c>
      <c r="C89" s="53" t="s">
        <v>33</v>
      </c>
      <c r="D89" s="53" t="s">
        <v>34</v>
      </c>
      <c r="E89" s="54">
        <v>33483</v>
      </c>
      <c r="F89" s="55">
        <v>42610</v>
      </c>
      <c r="G89" s="56">
        <v>4</v>
      </c>
      <c r="H89" s="57" t="s">
        <v>27</v>
      </c>
      <c r="I89" s="71" t="s">
        <v>186</v>
      </c>
      <c r="K89" s="51"/>
      <c r="L89"/>
    </row>
    <row r="90" spans="1:12">
      <c r="A90" s="90" t="s">
        <v>187</v>
      </c>
      <c r="B90" s="53" t="s">
        <v>38</v>
      </c>
      <c r="C90" s="53" t="s">
        <v>16</v>
      </c>
      <c r="D90" s="53" t="s">
        <v>17</v>
      </c>
      <c r="E90" s="54">
        <v>55303</v>
      </c>
      <c r="F90" s="55">
        <v>42617</v>
      </c>
      <c r="G90" s="56">
        <v>4</v>
      </c>
      <c r="H90" s="57" t="s">
        <v>27</v>
      </c>
      <c r="I90" s="71" t="s">
        <v>76</v>
      </c>
      <c r="K90" s="51"/>
      <c r="L90"/>
    </row>
    <row r="91" spans="1:12">
      <c r="A91" s="90" t="s">
        <v>188</v>
      </c>
      <c r="B91" s="53" t="s">
        <v>40</v>
      </c>
      <c r="C91" s="53" t="s">
        <v>33</v>
      </c>
      <c r="D91" s="53" t="s">
        <v>12</v>
      </c>
      <c r="E91" s="54">
        <v>63434</v>
      </c>
      <c r="F91" s="55">
        <v>42624</v>
      </c>
      <c r="G91" s="56">
        <v>3</v>
      </c>
      <c r="H91" s="57" t="s">
        <v>12</v>
      </c>
      <c r="I91" s="71" t="s">
        <v>189</v>
      </c>
      <c r="K91" s="51"/>
      <c r="L91"/>
    </row>
    <row r="92" spans="1:12">
      <c r="A92" s="90" t="s">
        <v>190</v>
      </c>
      <c r="B92" s="67" t="s">
        <v>30</v>
      </c>
      <c r="C92" s="53" t="s">
        <v>12</v>
      </c>
      <c r="D92" s="53" t="s">
        <v>63</v>
      </c>
      <c r="E92" s="54">
        <v>38830</v>
      </c>
      <c r="F92" s="55">
        <v>42631</v>
      </c>
      <c r="G92" s="56">
        <v>3</v>
      </c>
      <c r="H92" s="57" t="s">
        <v>18</v>
      </c>
      <c r="I92" s="71" t="s">
        <v>76</v>
      </c>
      <c r="K92" s="51"/>
      <c r="L92"/>
    </row>
    <row r="93" spans="1:12">
      <c r="A93" s="90" t="s">
        <v>191</v>
      </c>
      <c r="B93" s="53" t="s">
        <v>12</v>
      </c>
      <c r="C93" s="53" t="s">
        <v>41</v>
      </c>
      <c r="D93" s="53" t="s">
        <v>46</v>
      </c>
      <c r="E93" s="54">
        <v>50741</v>
      </c>
      <c r="F93" s="55">
        <v>42638</v>
      </c>
      <c r="G93" s="56">
        <v>3</v>
      </c>
      <c r="H93" s="57" t="s">
        <v>12</v>
      </c>
      <c r="I93" s="71" t="s">
        <v>159</v>
      </c>
      <c r="K93" s="51"/>
      <c r="L93"/>
    </row>
    <row r="94" spans="1:12">
      <c r="A94" s="90" t="s">
        <v>192</v>
      </c>
      <c r="B94" s="53" t="s">
        <v>21</v>
      </c>
      <c r="C94" s="53" t="s">
        <v>16</v>
      </c>
      <c r="D94" s="53" t="s">
        <v>63</v>
      </c>
      <c r="E94" s="54">
        <v>69420</v>
      </c>
      <c r="F94" s="55">
        <v>42645</v>
      </c>
      <c r="G94" s="56">
        <v>1</v>
      </c>
      <c r="H94" s="57" t="s">
        <v>27</v>
      </c>
      <c r="I94" s="71" t="s">
        <v>122</v>
      </c>
      <c r="K94" s="51"/>
      <c r="L94"/>
    </row>
    <row r="95" spans="1:12">
      <c r="A95" s="90" t="s">
        <v>193</v>
      </c>
      <c r="B95" s="53" t="s">
        <v>30</v>
      </c>
      <c r="C95" s="53" t="s">
        <v>33</v>
      </c>
      <c r="D95" s="53" t="s">
        <v>12</v>
      </c>
      <c r="E95" s="54">
        <v>80588</v>
      </c>
      <c r="F95" s="55">
        <v>42652</v>
      </c>
      <c r="G95" s="56">
        <v>5</v>
      </c>
      <c r="H95" s="57" t="s">
        <v>27</v>
      </c>
      <c r="I95" s="71" t="s">
        <v>103</v>
      </c>
      <c r="K95" s="51"/>
      <c r="L95"/>
    </row>
    <row r="96" spans="1:12">
      <c r="A96" s="90" t="s">
        <v>194</v>
      </c>
      <c r="B96" s="67" t="s">
        <v>21</v>
      </c>
      <c r="C96" s="53" t="s">
        <v>12</v>
      </c>
      <c r="D96" s="53" t="s">
        <v>26</v>
      </c>
      <c r="E96" s="54">
        <v>76238</v>
      </c>
      <c r="F96" s="55">
        <v>42659</v>
      </c>
      <c r="G96" s="56">
        <v>4</v>
      </c>
      <c r="H96" s="57" t="s">
        <v>27</v>
      </c>
      <c r="I96" s="71" t="s">
        <v>195</v>
      </c>
      <c r="K96" s="51"/>
      <c r="L96"/>
    </row>
    <row r="97" spans="1:12">
      <c r="A97" s="90" t="s">
        <v>196</v>
      </c>
      <c r="B97" s="53" t="s">
        <v>53</v>
      </c>
      <c r="C97" s="53" t="s">
        <v>33</v>
      </c>
      <c r="D97" s="53" t="s">
        <v>34</v>
      </c>
      <c r="E97" s="54">
        <v>33264</v>
      </c>
      <c r="F97" s="55">
        <v>42666</v>
      </c>
      <c r="G97" s="56">
        <v>2.8666666666666667</v>
      </c>
      <c r="H97" s="57" t="s">
        <v>35</v>
      </c>
      <c r="I97" s="71" t="s">
        <v>197</v>
      </c>
      <c r="K97" s="51"/>
      <c r="L97"/>
    </row>
    <row r="98" spans="1:12">
      <c r="A98" s="90" t="s">
        <v>198</v>
      </c>
      <c r="B98" s="53" t="s">
        <v>21</v>
      </c>
      <c r="C98" s="53" t="s">
        <v>10</v>
      </c>
      <c r="D98" s="53" t="s">
        <v>63</v>
      </c>
      <c r="E98" s="54">
        <v>96101</v>
      </c>
      <c r="F98" s="55">
        <v>42673</v>
      </c>
      <c r="G98" s="56">
        <v>2.8666666666666667</v>
      </c>
      <c r="H98" s="57" t="s">
        <v>18</v>
      </c>
      <c r="I98" s="71" t="s">
        <v>199</v>
      </c>
      <c r="K98" s="51"/>
      <c r="L98"/>
    </row>
    <row r="99" spans="1:12">
      <c r="A99" s="90" t="s">
        <v>200</v>
      </c>
      <c r="B99" s="53" t="s">
        <v>30</v>
      </c>
      <c r="C99" s="53" t="s">
        <v>10</v>
      </c>
      <c r="D99" s="53" t="s">
        <v>26</v>
      </c>
      <c r="E99" s="54">
        <v>72939</v>
      </c>
      <c r="F99" s="55">
        <v>42680</v>
      </c>
      <c r="G99" s="56">
        <v>3</v>
      </c>
      <c r="H99" s="57" t="s">
        <v>12</v>
      </c>
      <c r="I99" s="71" t="s">
        <v>201</v>
      </c>
      <c r="K99" s="51"/>
      <c r="L99"/>
    </row>
    <row r="100" spans="1:12">
      <c r="A100" s="90" t="s">
        <v>202</v>
      </c>
      <c r="B100" s="53" t="s">
        <v>38</v>
      </c>
      <c r="C100" s="53" t="s">
        <v>16</v>
      </c>
      <c r="D100" s="53" t="s">
        <v>17</v>
      </c>
      <c r="E100" s="54">
        <v>89333</v>
      </c>
      <c r="F100" s="55">
        <v>42687</v>
      </c>
      <c r="G100" s="56">
        <v>1</v>
      </c>
      <c r="H100" s="57" t="s">
        <v>27</v>
      </c>
      <c r="I100" s="71" t="s">
        <v>203</v>
      </c>
      <c r="K100" s="51"/>
      <c r="L100"/>
    </row>
    <row r="101" spans="1:12">
      <c r="A101" s="90" t="s">
        <v>204</v>
      </c>
      <c r="B101" s="53" t="s">
        <v>53</v>
      </c>
      <c r="C101" s="53" t="s">
        <v>33</v>
      </c>
      <c r="D101" s="53" t="s">
        <v>63</v>
      </c>
      <c r="E101" s="54">
        <v>70470</v>
      </c>
      <c r="F101" s="55">
        <v>42694</v>
      </c>
      <c r="G101" s="56">
        <v>2.9069767441860463</v>
      </c>
      <c r="H101" s="57" t="s">
        <v>27</v>
      </c>
      <c r="I101" s="71" t="s">
        <v>205</v>
      </c>
      <c r="K101" s="51"/>
      <c r="L101"/>
    </row>
    <row r="102" spans="1:12">
      <c r="A102" s="90" t="s">
        <v>206</v>
      </c>
      <c r="B102" s="53" t="s">
        <v>15</v>
      </c>
      <c r="C102" s="53" t="s">
        <v>41</v>
      </c>
      <c r="D102" s="53" t="s">
        <v>26</v>
      </c>
      <c r="E102" s="54">
        <v>70096</v>
      </c>
      <c r="F102" s="55">
        <v>42701</v>
      </c>
      <c r="G102" s="56">
        <v>4</v>
      </c>
      <c r="H102" s="57" t="s">
        <v>27</v>
      </c>
      <c r="I102" s="71" t="s">
        <v>207</v>
      </c>
      <c r="K102" s="51"/>
      <c r="L102"/>
    </row>
    <row r="103" spans="1:12">
      <c r="A103" s="90" t="s">
        <v>208</v>
      </c>
      <c r="B103" s="53" t="s">
        <v>53</v>
      </c>
      <c r="C103" s="53" t="s">
        <v>41</v>
      </c>
      <c r="D103" s="53" t="s">
        <v>12</v>
      </c>
      <c r="E103" s="54">
        <v>63370.106382978724</v>
      </c>
      <c r="F103" s="55">
        <v>42708</v>
      </c>
      <c r="G103" s="56">
        <v>2</v>
      </c>
      <c r="H103" s="57" t="s">
        <v>18</v>
      </c>
      <c r="I103" s="71" t="s">
        <v>209</v>
      </c>
      <c r="K103" s="51"/>
      <c r="L103"/>
    </row>
    <row r="104" spans="1:12">
      <c r="A104" s="90" t="s">
        <v>210</v>
      </c>
      <c r="B104" s="53" t="s">
        <v>53</v>
      </c>
      <c r="C104" s="53" t="s">
        <v>33</v>
      </c>
      <c r="D104" s="53" t="s">
        <v>17</v>
      </c>
      <c r="E104" s="54">
        <v>66503</v>
      </c>
      <c r="F104" s="55">
        <v>42715</v>
      </c>
      <c r="G104" s="56">
        <v>2.9024390243902438</v>
      </c>
      <c r="H104" s="57" t="s">
        <v>27</v>
      </c>
      <c r="I104" s="71" t="s">
        <v>70</v>
      </c>
      <c r="K104" s="51"/>
      <c r="L104"/>
    </row>
    <row r="105" spans="1:12">
      <c r="A105" s="90" t="s">
        <v>211</v>
      </c>
      <c r="B105" s="53" t="s">
        <v>21</v>
      </c>
      <c r="C105" s="53" t="s">
        <v>16</v>
      </c>
      <c r="D105" s="53" t="s">
        <v>17</v>
      </c>
      <c r="E105" s="54">
        <v>42096</v>
      </c>
      <c r="F105" s="55">
        <v>42722</v>
      </c>
      <c r="G105" s="56">
        <v>2.9024390243902438</v>
      </c>
      <c r="H105" s="57" t="s">
        <v>35</v>
      </c>
      <c r="I105" s="71" t="s">
        <v>212</v>
      </c>
      <c r="K105" s="51"/>
      <c r="L105"/>
    </row>
    <row r="106" spans="1:12">
      <c r="A106" s="90" t="s">
        <v>213</v>
      </c>
      <c r="B106" s="53" t="s">
        <v>21</v>
      </c>
      <c r="C106" s="67" t="s">
        <v>41</v>
      </c>
      <c r="D106" s="53" t="s">
        <v>12</v>
      </c>
      <c r="E106" s="54">
        <v>79145</v>
      </c>
      <c r="F106" s="55">
        <v>42729</v>
      </c>
      <c r="G106" s="56">
        <v>5</v>
      </c>
      <c r="H106" s="57" t="s">
        <v>18</v>
      </c>
      <c r="I106" s="71" t="s">
        <v>117</v>
      </c>
      <c r="K106" s="51"/>
      <c r="L106"/>
    </row>
    <row r="107" spans="1:12">
      <c r="A107" s="90" t="s">
        <v>214</v>
      </c>
      <c r="B107" s="67" t="s">
        <v>30</v>
      </c>
      <c r="C107" s="53" t="s">
        <v>12</v>
      </c>
      <c r="D107" s="53" t="s">
        <v>63</v>
      </c>
      <c r="E107" s="54">
        <v>61556</v>
      </c>
      <c r="F107" s="55">
        <v>42736</v>
      </c>
      <c r="G107" s="56">
        <v>1</v>
      </c>
      <c r="H107" s="57" t="s">
        <v>12</v>
      </c>
      <c r="I107" s="71" t="s">
        <v>209</v>
      </c>
      <c r="K107" s="51"/>
      <c r="L107"/>
    </row>
    <row r="108" spans="1:12">
      <c r="A108" s="90" t="s">
        <v>215</v>
      </c>
      <c r="B108" s="53" t="s">
        <v>12</v>
      </c>
      <c r="C108" s="53" t="s">
        <v>16</v>
      </c>
      <c r="D108" s="53" t="s">
        <v>46</v>
      </c>
      <c r="E108" s="54">
        <v>87963</v>
      </c>
      <c r="F108" s="55">
        <v>42743</v>
      </c>
      <c r="G108" s="56">
        <v>3</v>
      </c>
      <c r="H108" s="57" t="s">
        <v>18</v>
      </c>
      <c r="I108" s="71" t="s">
        <v>12</v>
      </c>
      <c r="K108" s="51"/>
      <c r="L108"/>
    </row>
    <row r="109" spans="1:12">
      <c r="A109" s="90" t="s">
        <v>216</v>
      </c>
      <c r="B109" s="53" t="s">
        <v>15</v>
      </c>
      <c r="C109" s="53" t="s">
        <v>33</v>
      </c>
      <c r="D109" s="53" t="s">
        <v>12</v>
      </c>
      <c r="E109" s="54">
        <v>48325</v>
      </c>
      <c r="F109" s="55">
        <v>42750</v>
      </c>
      <c r="G109" s="56">
        <v>2.8947368421052633</v>
      </c>
      <c r="H109" s="57" t="s">
        <v>27</v>
      </c>
      <c r="I109" s="71" t="s">
        <v>217</v>
      </c>
      <c r="K109" s="51"/>
      <c r="L109"/>
    </row>
    <row r="110" spans="1:12">
      <c r="A110" s="90" t="s">
        <v>218</v>
      </c>
      <c r="B110" s="53" t="s">
        <v>38</v>
      </c>
      <c r="C110" s="53" t="s">
        <v>41</v>
      </c>
      <c r="D110" s="53" t="s">
        <v>63</v>
      </c>
      <c r="E110" s="54">
        <v>86412</v>
      </c>
      <c r="F110" s="55">
        <v>42757</v>
      </c>
      <c r="G110" s="56">
        <v>2</v>
      </c>
      <c r="H110" s="57" t="s">
        <v>35</v>
      </c>
      <c r="I110" s="71" t="s">
        <v>74</v>
      </c>
      <c r="K110" s="51"/>
      <c r="L110"/>
    </row>
    <row r="111" spans="1:12">
      <c r="A111" s="90" t="s">
        <v>219</v>
      </c>
      <c r="B111" s="53" t="s">
        <v>38</v>
      </c>
      <c r="C111" s="53" t="s">
        <v>16</v>
      </c>
      <c r="D111" s="53" t="s">
        <v>12</v>
      </c>
      <c r="E111" s="54">
        <v>66761</v>
      </c>
      <c r="F111" s="55">
        <v>42764</v>
      </c>
      <c r="G111" s="56">
        <v>1</v>
      </c>
      <c r="H111" s="57" t="s">
        <v>12</v>
      </c>
      <c r="I111" s="71" t="s">
        <v>220</v>
      </c>
      <c r="K111" s="51"/>
      <c r="L111"/>
    </row>
    <row r="112" spans="1:12">
      <c r="A112" s="90" t="s">
        <v>221</v>
      </c>
      <c r="B112" s="67" t="s">
        <v>30</v>
      </c>
      <c r="C112" s="53" t="s">
        <v>12</v>
      </c>
      <c r="D112" s="53" t="s">
        <v>34</v>
      </c>
      <c r="E112" s="54">
        <v>88850</v>
      </c>
      <c r="F112" s="55">
        <v>42771</v>
      </c>
      <c r="G112" s="56">
        <v>1</v>
      </c>
      <c r="H112" s="57" t="s">
        <v>35</v>
      </c>
      <c r="I112" s="71" t="s">
        <v>222</v>
      </c>
      <c r="K112" s="51"/>
      <c r="L112"/>
    </row>
    <row r="113" spans="1:12">
      <c r="A113" s="90" t="s">
        <v>223</v>
      </c>
      <c r="B113" s="53" t="s">
        <v>40</v>
      </c>
      <c r="C113" s="53" t="s">
        <v>25</v>
      </c>
      <c r="D113" s="53" t="s">
        <v>34</v>
      </c>
      <c r="E113" s="54">
        <v>31293</v>
      </c>
      <c r="F113" s="55" t="s">
        <v>12</v>
      </c>
      <c r="G113" s="56">
        <v>2</v>
      </c>
      <c r="H113" s="57" t="s">
        <v>35</v>
      </c>
      <c r="I113" s="71" t="s">
        <v>224</v>
      </c>
      <c r="K113" s="51"/>
      <c r="L113"/>
    </row>
    <row r="114" spans="1:12">
      <c r="A114" s="90" t="s">
        <v>225</v>
      </c>
      <c r="B114" s="53" t="s">
        <v>40</v>
      </c>
      <c r="C114" s="53" t="s">
        <v>33</v>
      </c>
      <c r="D114" s="53" t="s">
        <v>26</v>
      </c>
      <c r="E114" s="54">
        <v>34306</v>
      </c>
      <c r="F114" s="55">
        <v>42785</v>
      </c>
      <c r="G114" s="56">
        <v>5</v>
      </c>
      <c r="H114" s="57" t="s">
        <v>35</v>
      </c>
      <c r="I114" s="71" t="s">
        <v>156</v>
      </c>
      <c r="K114" s="51"/>
      <c r="L114"/>
    </row>
    <row r="115" spans="1:12">
      <c r="A115" s="90" t="s">
        <v>226</v>
      </c>
      <c r="B115" s="53" t="s">
        <v>15</v>
      </c>
      <c r="C115" s="53" t="s">
        <v>10</v>
      </c>
      <c r="D115" s="53" t="s">
        <v>34</v>
      </c>
      <c r="E115" s="54">
        <v>78330</v>
      </c>
      <c r="F115" s="55">
        <v>42792</v>
      </c>
      <c r="G115" s="56">
        <v>3</v>
      </c>
      <c r="H115" s="57" t="s">
        <v>18</v>
      </c>
      <c r="I115" s="71" t="s">
        <v>207</v>
      </c>
      <c r="K115" s="51"/>
      <c r="L115"/>
    </row>
    <row r="116" spans="1:12">
      <c r="A116" s="90" t="s">
        <v>227</v>
      </c>
      <c r="B116" s="53" t="s">
        <v>21</v>
      </c>
      <c r="C116" s="53" t="s">
        <v>33</v>
      </c>
      <c r="D116" s="53" t="s">
        <v>26</v>
      </c>
      <c r="E116" s="54">
        <v>47653</v>
      </c>
      <c r="F116" s="55">
        <v>42799</v>
      </c>
      <c r="G116" s="56">
        <v>1</v>
      </c>
      <c r="H116" s="57" t="s">
        <v>27</v>
      </c>
      <c r="I116" s="71" t="s">
        <v>228</v>
      </c>
      <c r="K116" s="51"/>
      <c r="L116"/>
    </row>
    <row r="117" spans="1:12">
      <c r="A117" s="90" t="s">
        <v>229</v>
      </c>
      <c r="B117" s="53" t="s">
        <v>15</v>
      </c>
      <c r="C117" s="53" t="s">
        <v>41</v>
      </c>
      <c r="D117" s="53" t="s">
        <v>46</v>
      </c>
      <c r="E117" s="54">
        <v>44627</v>
      </c>
      <c r="F117" s="55">
        <v>42806</v>
      </c>
      <c r="G117" s="56">
        <v>4</v>
      </c>
      <c r="H117" s="57" t="s">
        <v>12</v>
      </c>
      <c r="I117" s="71" t="s">
        <v>148</v>
      </c>
      <c r="K117" s="51"/>
      <c r="L117"/>
    </row>
    <row r="118" spans="1:12">
      <c r="A118" s="90" t="s">
        <v>230</v>
      </c>
      <c r="B118" s="53" t="s">
        <v>53</v>
      </c>
      <c r="C118" s="53" t="s">
        <v>16</v>
      </c>
      <c r="D118" s="53" t="s">
        <v>17</v>
      </c>
      <c r="E118" s="54">
        <v>92343</v>
      </c>
      <c r="F118" s="55">
        <v>42813</v>
      </c>
      <c r="G118" s="56">
        <v>4</v>
      </c>
      <c r="H118" s="57" t="s">
        <v>35</v>
      </c>
      <c r="I118" s="71" t="s">
        <v>76</v>
      </c>
      <c r="K118" s="51"/>
      <c r="L118"/>
    </row>
    <row r="119" spans="1:12">
      <c r="A119" s="90" t="s">
        <v>231</v>
      </c>
      <c r="B119" s="53" t="s">
        <v>53</v>
      </c>
      <c r="C119" s="53" t="s">
        <v>41</v>
      </c>
      <c r="D119" s="53" t="s">
        <v>63</v>
      </c>
      <c r="E119" s="54">
        <v>38837</v>
      </c>
      <c r="F119" s="55">
        <v>42820</v>
      </c>
      <c r="G119" s="56">
        <v>5</v>
      </c>
      <c r="H119" s="57" t="s">
        <v>35</v>
      </c>
      <c r="I119" s="71" t="s">
        <v>156</v>
      </c>
      <c r="K119" s="51"/>
      <c r="L119"/>
    </row>
    <row r="120" spans="1:12">
      <c r="A120" s="90" t="s">
        <v>232</v>
      </c>
      <c r="B120" s="53" t="s">
        <v>53</v>
      </c>
      <c r="C120" s="67" t="s">
        <v>41</v>
      </c>
      <c r="D120" s="53" t="s">
        <v>12</v>
      </c>
      <c r="E120" s="54">
        <v>73483</v>
      </c>
      <c r="F120" s="55">
        <v>42827</v>
      </c>
      <c r="G120" s="56">
        <v>1</v>
      </c>
      <c r="H120" s="57" t="s">
        <v>12</v>
      </c>
      <c r="I120" s="71" t="s">
        <v>233</v>
      </c>
      <c r="K120" s="51"/>
      <c r="L120"/>
    </row>
    <row r="121" spans="1:12">
      <c r="A121" s="90" t="s">
        <v>234</v>
      </c>
      <c r="B121" s="53" t="s">
        <v>40</v>
      </c>
      <c r="C121" s="53" t="s">
        <v>25</v>
      </c>
      <c r="D121" s="53" t="s">
        <v>34</v>
      </c>
      <c r="E121" s="54">
        <v>95032</v>
      </c>
      <c r="F121" s="55">
        <v>42834</v>
      </c>
      <c r="G121" s="56">
        <v>3</v>
      </c>
      <c r="H121" s="57" t="s">
        <v>12</v>
      </c>
      <c r="I121" s="71" t="s">
        <v>235</v>
      </c>
      <c r="K121" s="51"/>
      <c r="L121"/>
    </row>
    <row r="122" spans="1:12">
      <c r="A122" s="90" t="s">
        <v>236</v>
      </c>
      <c r="B122" s="53" t="s">
        <v>15</v>
      </c>
      <c r="C122" s="53" t="s">
        <v>25</v>
      </c>
      <c r="D122" s="53" t="s">
        <v>63</v>
      </c>
      <c r="E122" s="54">
        <v>44358</v>
      </c>
      <c r="F122" s="55">
        <v>42841</v>
      </c>
      <c r="G122" s="56">
        <v>3</v>
      </c>
      <c r="H122" s="57" t="s">
        <v>35</v>
      </c>
      <c r="I122" s="71" t="s">
        <v>70</v>
      </c>
      <c r="K122" s="51"/>
      <c r="L122"/>
    </row>
    <row r="123" spans="1:12">
      <c r="A123" s="90" t="s">
        <v>237</v>
      </c>
      <c r="B123" s="53" t="s">
        <v>12</v>
      </c>
      <c r="C123" s="53" t="s">
        <v>33</v>
      </c>
      <c r="D123" s="53" t="s">
        <v>26</v>
      </c>
      <c r="E123" s="54">
        <v>63232.928571428572</v>
      </c>
      <c r="F123" s="55" t="s">
        <v>12</v>
      </c>
      <c r="G123" s="56">
        <v>5</v>
      </c>
      <c r="H123" s="57" t="s">
        <v>12</v>
      </c>
      <c r="I123" s="71" t="s">
        <v>238</v>
      </c>
      <c r="K123" s="51"/>
      <c r="L123"/>
    </row>
    <row r="124" spans="1:12">
      <c r="A124" s="90" t="s">
        <v>239</v>
      </c>
      <c r="B124" s="53" t="s">
        <v>40</v>
      </c>
      <c r="C124" s="53" t="s">
        <v>25</v>
      </c>
      <c r="D124" s="53" t="s">
        <v>26</v>
      </c>
      <c r="E124" s="54">
        <v>45676</v>
      </c>
      <c r="F124" s="55">
        <v>42855</v>
      </c>
      <c r="G124" s="56">
        <v>2</v>
      </c>
      <c r="H124" s="57" t="s">
        <v>12</v>
      </c>
      <c r="I124" s="71" t="s">
        <v>240</v>
      </c>
      <c r="K124" s="51"/>
      <c r="L124"/>
    </row>
    <row r="125" spans="1:12">
      <c r="A125" s="90" t="s">
        <v>241</v>
      </c>
      <c r="B125" s="53" t="s">
        <v>53</v>
      </c>
      <c r="C125" s="53" t="s">
        <v>25</v>
      </c>
      <c r="D125" s="53" t="s">
        <v>17</v>
      </c>
      <c r="E125" s="54">
        <v>52036</v>
      </c>
      <c r="F125" s="55">
        <v>42862</v>
      </c>
      <c r="G125" s="56">
        <v>3</v>
      </c>
      <c r="H125" s="57" t="s">
        <v>27</v>
      </c>
      <c r="I125" s="71" t="s">
        <v>242</v>
      </c>
      <c r="K125" s="51"/>
      <c r="L125"/>
    </row>
    <row r="126" spans="1:12">
      <c r="A126" s="90" t="s">
        <v>243</v>
      </c>
      <c r="B126" s="67" t="s">
        <v>30</v>
      </c>
      <c r="C126" s="53" t="s">
        <v>12</v>
      </c>
      <c r="D126" s="53" t="s">
        <v>17</v>
      </c>
      <c r="E126" s="54">
        <v>30357</v>
      </c>
      <c r="F126" s="55">
        <v>42869</v>
      </c>
      <c r="G126" s="56">
        <v>5</v>
      </c>
      <c r="H126" s="57" t="s">
        <v>27</v>
      </c>
      <c r="I126" s="71" t="s">
        <v>181</v>
      </c>
      <c r="K126" s="51"/>
      <c r="L126"/>
    </row>
    <row r="127" spans="1:12">
      <c r="A127" s="90" t="s">
        <v>244</v>
      </c>
      <c r="B127" s="53" t="s">
        <v>24</v>
      </c>
      <c r="C127" s="53" t="s">
        <v>33</v>
      </c>
      <c r="D127" s="53" t="s">
        <v>12</v>
      </c>
      <c r="E127" s="54">
        <v>60034</v>
      </c>
      <c r="F127" s="55">
        <v>42876</v>
      </c>
      <c r="G127" s="56">
        <v>1</v>
      </c>
      <c r="H127" s="57" t="s">
        <v>35</v>
      </c>
      <c r="I127" s="71" t="s">
        <v>245</v>
      </c>
      <c r="K127" s="51"/>
      <c r="L127"/>
    </row>
    <row r="128" spans="1:12">
      <c r="A128" s="90" t="s">
        <v>246</v>
      </c>
      <c r="B128" s="53" t="s">
        <v>24</v>
      </c>
      <c r="C128" s="53" t="s">
        <v>10</v>
      </c>
      <c r="D128" s="53" t="s">
        <v>12</v>
      </c>
      <c r="E128" s="54">
        <v>90019</v>
      </c>
      <c r="F128" s="55">
        <v>42883</v>
      </c>
      <c r="G128" s="56">
        <v>5</v>
      </c>
      <c r="H128" s="57" t="s">
        <v>12</v>
      </c>
      <c r="I128" s="71" t="s">
        <v>247</v>
      </c>
      <c r="K128" s="51"/>
      <c r="L128"/>
    </row>
    <row r="129" spans="1:12">
      <c r="A129" s="90" t="s">
        <v>248</v>
      </c>
      <c r="B129" s="67" t="s">
        <v>53</v>
      </c>
      <c r="C129" s="53" t="s">
        <v>12</v>
      </c>
      <c r="D129" s="53" t="s">
        <v>17</v>
      </c>
      <c r="E129" s="54">
        <v>71494</v>
      </c>
      <c r="F129" s="55">
        <v>42890</v>
      </c>
      <c r="G129" s="56">
        <v>3</v>
      </c>
      <c r="H129" s="57" t="s">
        <v>27</v>
      </c>
      <c r="I129" s="71" t="s">
        <v>249</v>
      </c>
      <c r="K129" s="51"/>
      <c r="L129"/>
    </row>
    <row r="130" spans="1:12">
      <c r="A130" s="90" t="s">
        <v>250</v>
      </c>
      <c r="B130" s="53" t="s">
        <v>24</v>
      </c>
      <c r="C130" s="53" t="s">
        <v>10</v>
      </c>
      <c r="D130" s="53" t="s">
        <v>26</v>
      </c>
      <c r="E130" s="54">
        <v>91953</v>
      </c>
      <c r="F130" s="55">
        <v>42897</v>
      </c>
      <c r="G130" s="56">
        <v>2</v>
      </c>
      <c r="H130" s="57" t="s">
        <v>27</v>
      </c>
      <c r="I130" s="71" t="s">
        <v>88</v>
      </c>
      <c r="K130" s="51"/>
      <c r="L130"/>
    </row>
    <row r="131" spans="1:12">
      <c r="A131" s="90" t="s">
        <v>251</v>
      </c>
      <c r="B131" s="53" t="s">
        <v>40</v>
      </c>
      <c r="C131" s="53" t="s">
        <v>25</v>
      </c>
      <c r="D131" s="53" t="s">
        <v>26</v>
      </c>
      <c r="E131" s="54">
        <v>30402</v>
      </c>
      <c r="F131" s="55">
        <v>42904</v>
      </c>
      <c r="G131" s="56">
        <v>1</v>
      </c>
      <c r="H131" s="57" t="s">
        <v>12</v>
      </c>
      <c r="I131" s="71" t="s">
        <v>252</v>
      </c>
      <c r="K131" s="51"/>
      <c r="L131"/>
    </row>
    <row r="132" spans="1:12">
      <c r="A132" s="90" t="s">
        <v>253</v>
      </c>
      <c r="B132" s="67" t="s">
        <v>53</v>
      </c>
      <c r="C132" s="53" t="s">
        <v>12</v>
      </c>
      <c r="D132" s="53" t="s">
        <v>46</v>
      </c>
      <c r="E132" s="54">
        <v>62994</v>
      </c>
      <c r="F132" s="55">
        <v>42911</v>
      </c>
      <c r="G132" s="56">
        <v>3</v>
      </c>
      <c r="H132" s="57" t="s">
        <v>12</v>
      </c>
      <c r="I132" s="71" t="s">
        <v>113</v>
      </c>
      <c r="K132" s="51"/>
      <c r="L132"/>
    </row>
    <row r="133" spans="1:12">
      <c r="A133" s="90" t="s">
        <v>254</v>
      </c>
      <c r="B133" s="53" t="s">
        <v>21</v>
      </c>
      <c r="C133" s="53" t="s">
        <v>25</v>
      </c>
      <c r="D133" s="53" t="s">
        <v>34</v>
      </c>
      <c r="E133" s="54">
        <v>48289</v>
      </c>
      <c r="F133" s="55" t="s">
        <v>12</v>
      </c>
      <c r="G133" s="56">
        <v>3</v>
      </c>
      <c r="H133" s="57" t="s">
        <v>27</v>
      </c>
      <c r="I133" s="71" t="s">
        <v>44</v>
      </c>
      <c r="K133" s="51"/>
      <c r="L133"/>
    </row>
    <row r="134" spans="1:12">
      <c r="A134" s="90" t="s">
        <v>255</v>
      </c>
      <c r="B134" s="53" t="s">
        <v>38</v>
      </c>
      <c r="C134" s="53" t="s">
        <v>41</v>
      </c>
      <c r="D134" s="53" t="s">
        <v>17</v>
      </c>
      <c r="E134" s="54">
        <v>34402</v>
      </c>
      <c r="F134" s="55">
        <v>42925</v>
      </c>
      <c r="G134" s="56">
        <v>3</v>
      </c>
      <c r="H134" s="57" t="s">
        <v>18</v>
      </c>
      <c r="I134" s="71" t="s">
        <v>107</v>
      </c>
      <c r="K134" s="51"/>
      <c r="L134"/>
    </row>
    <row r="135" spans="1:12">
      <c r="A135" s="90" t="s">
        <v>256</v>
      </c>
      <c r="B135" s="53" t="s">
        <v>15</v>
      </c>
      <c r="C135" s="53" t="s">
        <v>16</v>
      </c>
      <c r="D135" s="53" t="s">
        <v>26</v>
      </c>
      <c r="E135" s="54">
        <v>38678</v>
      </c>
      <c r="F135" s="55">
        <v>42932</v>
      </c>
      <c r="G135" s="56">
        <v>3</v>
      </c>
      <c r="H135" s="57" t="s">
        <v>18</v>
      </c>
      <c r="I135" s="71" t="s">
        <v>257</v>
      </c>
      <c r="K135" s="51"/>
      <c r="L135"/>
    </row>
    <row r="136" spans="1:12">
      <c r="A136" s="90" t="s">
        <v>258</v>
      </c>
      <c r="B136" s="53" t="s">
        <v>40</v>
      </c>
      <c r="C136" s="53" t="s">
        <v>16</v>
      </c>
      <c r="D136" s="53" t="s">
        <v>17</v>
      </c>
      <c r="E136" s="54">
        <v>45758</v>
      </c>
      <c r="F136" s="55">
        <v>42939</v>
      </c>
      <c r="G136" s="56">
        <v>3</v>
      </c>
      <c r="H136" s="57" t="s">
        <v>12</v>
      </c>
      <c r="I136" s="71" t="s">
        <v>224</v>
      </c>
      <c r="K136" s="51"/>
      <c r="L136"/>
    </row>
    <row r="137" spans="1:12">
      <c r="A137" s="90" t="s">
        <v>259</v>
      </c>
      <c r="B137" s="53" t="s">
        <v>15</v>
      </c>
      <c r="C137" s="53" t="s">
        <v>41</v>
      </c>
      <c r="D137" s="53" t="s">
        <v>34</v>
      </c>
      <c r="E137" s="54">
        <v>62476</v>
      </c>
      <c r="F137" s="55">
        <v>42946</v>
      </c>
      <c r="G137" s="56">
        <v>1</v>
      </c>
      <c r="H137" s="57" t="s">
        <v>18</v>
      </c>
      <c r="I137" s="71" t="s">
        <v>137</v>
      </c>
      <c r="K137" s="51"/>
      <c r="L137"/>
    </row>
    <row r="138" spans="1:12">
      <c r="A138" s="90" t="s">
        <v>260</v>
      </c>
      <c r="B138" s="53" t="s">
        <v>12</v>
      </c>
      <c r="C138" s="53" t="s">
        <v>33</v>
      </c>
      <c r="D138" s="53" t="s">
        <v>46</v>
      </c>
      <c r="E138" s="54">
        <v>39280</v>
      </c>
      <c r="F138" s="55">
        <v>42953</v>
      </c>
      <c r="G138" s="56">
        <v>3</v>
      </c>
      <c r="H138" s="57" t="s">
        <v>35</v>
      </c>
      <c r="I138" s="71" t="s">
        <v>98</v>
      </c>
      <c r="K138" s="51"/>
      <c r="L138"/>
    </row>
    <row r="139" spans="1:12">
      <c r="A139" s="90" t="s">
        <v>261</v>
      </c>
      <c r="B139" s="53" t="s">
        <v>30</v>
      </c>
      <c r="C139" s="53" t="s">
        <v>10</v>
      </c>
      <c r="D139" s="53" t="s">
        <v>34</v>
      </c>
      <c r="E139" s="54">
        <v>60335</v>
      </c>
      <c r="F139" s="55">
        <v>42960</v>
      </c>
      <c r="G139" s="56">
        <v>4</v>
      </c>
      <c r="H139" s="57" t="s">
        <v>18</v>
      </c>
      <c r="I139" s="71" t="s">
        <v>128</v>
      </c>
      <c r="K139" s="51"/>
      <c r="L139"/>
    </row>
    <row r="140" spans="1:12">
      <c r="A140" s="90" t="s">
        <v>262</v>
      </c>
      <c r="B140" s="53" t="s">
        <v>40</v>
      </c>
      <c r="C140" s="53" t="s">
        <v>16</v>
      </c>
      <c r="D140" s="53" t="s">
        <v>17</v>
      </c>
      <c r="E140" s="54">
        <v>84968</v>
      </c>
      <c r="F140" s="55">
        <v>42967</v>
      </c>
      <c r="G140" s="56">
        <v>3.0909090909090908</v>
      </c>
      <c r="H140" s="57" t="s">
        <v>12</v>
      </c>
      <c r="I140" s="71" t="s">
        <v>263</v>
      </c>
      <c r="K140" s="51"/>
      <c r="L140"/>
    </row>
    <row r="141" spans="1:12">
      <c r="A141" s="90" t="s">
        <v>264</v>
      </c>
      <c r="B141" s="53" t="s">
        <v>40</v>
      </c>
      <c r="C141" s="53" t="s">
        <v>41</v>
      </c>
      <c r="D141" s="53" t="s">
        <v>63</v>
      </c>
      <c r="E141" s="54">
        <v>84750</v>
      </c>
      <c r="F141" s="55">
        <v>42974</v>
      </c>
      <c r="G141" s="56">
        <v>4</v>
      </c>
      <c r="H141" s="57" t="s">
        <v>35</v>
      </c>
      <c r="I141" s="71" t="s">
        <v>59</v>
      </c>
      <c r="K141" s="51"/>
      <c r="L141"/>
    </row>
    <row r="142" spans="1:12">
      <c r="A142" s="90" t="s">
        <v>265</v>
      </c>
      <c r="B142" s="53" t="s">
        <v>53</v>
      </c>
      <c r="C142" s="53" t="s">
        <v>33</v>
      </c>
      <c r="D142" s="53" t="s">
        <v>12</v>
      </c>
      <c r="E142" s="54">
        <v>73348</v>
      </c>
      <c r="F142" s="55">
        <v>42981</v>
      </c>
      <c r="G142" s="56">
        <v>2</v>
      </c>
      <c r="H142" s="57" t="s">
        <v>12</v>
      </c>
      <c r="I142" s="71" t="s">
        <v>170</v>
      </c>
      <c r="K142" s="51"/>
      <c r="L142"/>
    </row>
    <row r="143" spans="1:12">
      <c r="A143" s="90" t="s">
        <v>266</v>
      </c>
      <c r="B143" s="53" t="s">
        <v>40</v>
      </c>
      <c r="C143" s="53" t="s">
        <v>25</v>
      </c>
      <c r="D143" s="53" t="s">
        <v>26</v>
      </c>
      <c r="E143" s="54">
        <v>73697</v>
      </c>
      <c r="F143" s="55">
        <v>42988</v>
      </c>
      <c r="G143" s="56">
        <v>4</v>
      </c>
      <c r="H143" s="57" t="s">
        <v>18</v>
      </c>
      <c r="I143" s="71" t="s">
        <v>12</v>
      </c>
      <c r="K143" s="51"/>
      <c r="L143"/>
    </row>
    <row r="144" spans="1:12">
      <c r="A144" s="90" t="s">
        <v>267</v>
      </c>
      <c r="B144" s="53" t="s">
        <v>30</v>
      </c>
      <c r="C144" s="53" t="s">
        <v>41</v>
      </c>
      <c r="D144" s="53" t="s">
        <v>26</v>
      </c>
      <c r="E144" s="54">
        <v>66882</v>
      </c>
      <c r="F144" s="55">
        <v>42995</v>
      </c>
      <c r="G144" s="56">
        <v>5</v>
      </c>
      <c r="H144" s="57" t="s">
        <v>18</v>
      </c>
      <c r="I144" s="71" t="s">
        <v>84</v>
      </c>
      <c r="K144" s="51"/>
      <c r="L144"/>
    </row>
    <row r="145" spans="1:12">
      <c r="A145" s="90" t="s">
        <v>268</v>
      </c>
      <c r="B145" s="53" t="s">
        <v>21</v>
      </c>
      <c r="C145" s="67" t="s">
        <v>41</v>
      </c>
      <c r="D145" s="53" t="s">
        <v>12</v>
      </c>
      <c r="E145" s="54">
        <v>86775</v>
      </c>
      <c r="F145" s="55">
        <v>43002</v>
      </c>
      <c r="G145" s="56">
        <v>3</v>
      </c>
      <c r="H145" s="57" t="s">
        <v>18</v>
      </c>
      <c r="I145" s="71" t="s">
        <v>94</v>
      </c>
      <c r="K145" s="51"/>
      <c r="L145"/>
    </row>
    <row r="146" spans="1:12">
      <c r="A146" s="90" t="s">
        <v>269</v>
      </c>
      <c r="B146" s="53" t="s">
        <v>40</v>
      </c>
      <c r="C146" s="53" t="s">
        <v>25</v>
      </c>
      <c r="D146" s="53" t="s">
        <v>46</v>
      </c>
      <c r="E146" s="54">
        <v>91620</v>
      </c>
      <c r="F146" s="55">
        <v>43009</v>
      </c>
      <c r="G146" s="56">
        <v>2.6666666666666665</v>
      </c>
      <c r="H146" s="57" t="s">
        <v>12</v>
      </c>
      <c r="I146" s="71" t="s">
        <v>270</v>
      </c>
      <c r="K146" s="51"/>
      <c r="L146"/>
    </row>
    <row r="147" spans="1:12">
      <c r="A147" s="90" t="s">
        <v>271</v>
      </c>
      <c r="B147" s="67" t="s">
        <v>15</v>
      </c>
      <c r="C147" s="53" t="s">
        <v>12</v>
      </c>
      <c r="D147" s="53" t="s">
        <v>12</v>
      </c>
      <c r="E147" s="54">
        <v>94148</v>
      </c>
      <c r="F147" s="55">
        <v>43016</v>
      </c>
      <c r="G147" s="56">
        <v>2</v>
      </c>
      <c r="H147" s="57" t="s">
        <v>12</v>
      </c>
      <c r="I147" s="71" t="s">
        <v>272</v>
      </c>
      <c r="K147" s="51"/>
      <c r="L147"/>
    </row>
    <row r="148" spans="1:12">
      <c r="A148" s="90" t="s">
        <v>273</v>
      </c>
      <c r="B148" s="53" t="s">
        <v>38</v>
      </c>
      <c r="C148" s="53" t="s">
        <v>25</v>
      </c>
      <c r="D148" s="53" t="s">
        <v>63</v>
      </c>
      <c r="E148" s="54">
        <v>35627</v>
      </c>
      <c r="F148" s="55">
        <v>43023</v>
      </c>
      <c r="G148" s="56">
        <v>5</v>
      </c>
      <c r="H148" s="57" t="s">
        <v>35</v>
      </c>
      <c r="I148" s="71" t="s">
        <v>257</v>
      </c>
      <c r="K148" s="51"/>
      <c r="L148"/>
    </row>
    <row r="149" spans="1:12">
      <c r="A149" s="90" t="s">
        <v>274</v>
      </c>
      <c r="B149" s="53" t="s">
        <v>24</v>
      </c>
      <c r="C149" s="53" t="s">
        <v>41</v>
      </c>
      <c r="D149" s="53" t="s">
        <v>26</v>
      </c>
      <c r="E149" s="54">
        <v>57141</v>
      </c>
      <c r="F149" s="55">
        <v>43030</v>
      </c>
      <c r="G149" s="56">
        <v>2</v>
      </c>
      <c r="H149" s="57" t="s">
        <v>12</v>
      </c>
      <c r="I149" s="71" t="s">
        <v>263</v>
      </c>
      <c r="K149" s="51"/>
      <c r="L149"/>
    </row>
    <row r="150" spans="1:12">
      <c r="A150" s="90" t="s">
        <v>275</v>
      </c>
      <c r="B150" s="53" t="s">
        <v>53</v>
      </c>
      <c r="C150" s="53" t="s">
        <v>25</v>
      </c>
      <c r="D150" s="53" t="s">
        <v>63</v>
      </c>
      <c r="E150" s="54">
        <v>65270</v>
      </c>
      <c r="F150" s="55">
        <v>43037</v>
      </c>
      <c r="G150" s="56">
        <v>1</v>
      </c>
      <c r="H150" s="57" t="s">
        <v>12</v>
      </c>
      <c r="I150" s="71" t="s">
        <v>276</v>
      </c>
      <c r="K150" s="51"/>
      <c r="L150"/>
    </row>
    <row r="151" spans="1:12">
      <c r="A151" s="90" t="s">
        <v>277</v>
      </c>
      <c r="B151" s="67" t="s">
        <v>53</v>
      </c>
      <c r="C151" s="53" t="s">
        <v>12</v>
      </c>
      <c r="D151" s="53" t="s">
        <v>46</v>
      </c>
      <c r="E151" s="54">
        <v>67335</v>
      </c>
      <c r="F151" s="55">
        <v>43044</v>
      </c>
      <c r="G151" s="56">
        <v>1</v>
      </c>
      <c r="H151" s="57" t="s">
        <v>18</v>
      </c>
      <c r="I151" s="71" t="s">
        <v>143</v>
      </c>
      <c r="K151" s="51"/>
      <c r="L151"/>
    </row>
    <row r="152" spans="1:12">
      <c r="A152" s="91" t="s">
        <v>278</v>
      </c>
      <c r="B152" s="92" t="s">
        <v>38</v>
      </c>
      <c r="C152" s="92" t="s">
        <v>41</v>
      </c>
      <c r="D152" s="92" t="s">
        <v>34</v>
      </c>
      <c r="E152" s="93">
        <v>98475</v>
      </c>
      <c r="F152" s="94">
        <v>43051</v>
      </c>
      <c r="G152" s="95">
        <v>5</v>
      </c>
      <c r="H152" s="96" t="s">
        <v>18</v>
      </c>
      <c r="I152" s="97" t="s">
        <v>279</v>
      </c>
      <c r="K152" s="51"/>
      <c r="L152"/>
    </row>
  </sheetData>
  <mergeCells count="3">
    <mergeCell ref="A1:N1"/>
    <mergeCell ref="K3:N3"/>
    <mergeCell ref="K12:N12"/>
  </mergeCells>
  <pageMargins left="0.7" right="0.7" top="0.75" bottom="0.75" header="0.3" footer="0.3"/>
  <tableParts count="2">
    <tablePart r:id="rId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182B6-C0C2-4796-875F-D1F2B01D60FF}">
  <dimension ref="A1:P152"/>
  <sheetViews>
    <sheetView topLeftCell="A137" workbookViewId="0">
      <selection activeCell="L4" sqref="L4"/>
    </sheetView>
  </sheetViews>
  <sheetFormatPr defaultRowHeight="14.4"/>
  <cols>
    <col min="1" max="1" width="12.6640625" customWidth="1"/>
    <col min="2" max="2" width="12.109375" customWidth="1"/>
    <col min="3" max="3" width="10.44140625" customWidth="1"/>
    <col min="4" max="4" width="11.5546875" customWidth="1"/>
    <col min="5" max="5" width="12.21875" customWidth="1"/>
    <col min="6" max="7" width="12.109375" customWidth="1"/>
    <col min="8" max="8" width="9.6640625" customWidth="1"/>
    <col min="9" max="9" width="11.6640625" customWidth="1"/>
    <col min="10" max="10" width="23" customWidth="1"/>
  </cols>
  <sheetData>
    <row r="1" spans="1:16" ht="21">
      <c r="A1" s="197" t="s">
        <v>359</v>
      </c>
      <c r="B1" s="197"/>
      <c r="C1" s="197"/>
      <c r="D1" s="197"/>
      <c r="E1" s="197"/>
      <c r="F1" s="197"/>
      <c r="G1" s="197"/>
      <c r="H1" s="197"/>
      <c r="I1" s="197"/>
      <c r="J1" s="197"/>
      <c r="K1" s="197"/>
      <c r="L1" s="197"/>
      <c r="M1" s="197"/>
      <c r="N1" s="197"/>
      <c r="O1" s="197"/>
      <c r="P1" s="197"/>
    </row>
    <row r="2" spans="1:16">
      <c r="A2" s="45" t="s">
        <v>0</v>
      </c>
      <c r="B2" s="46" t="s">
        <v>1</v>
      </c>
      <c r="C2" s="46" t="s">
        <v>2</v>
      </c>
      <c r="D2" s="46" t="s">
        <v>3</v>
      </c>
      <c r="E2" s="47" t="s">
        <v>4</v>
      </c>
      <c r="F2" s="48" t="s">
        <v>5</v>
      </c>
      <c r="G2" s="48" t="s">
        <v>360</v>
      </c>
      <c r="H2" s="49" t="s">
        <v>6</v>
      </c>
      <c r="I2" s="46" t="s">
        <v>7</v>
      </c>
      <c r="J2" s="50" t="s">
        <v>8</v>
      </c>
    </row>
    <row r="3" spans="1:16">
      <c r="A3" s="52" t="s">
        <v>9</v>
      </c>
      <c r="B3" s="53" t="s">
        <v>12</v>
      </c>
      <c r="C3" s="53" t="s">
        <v>10</v>
      </c>
      <c r="D3" s="53" t="s">
        <v>12</v>
      </c>
      <c r="E3" s="54">
        <v>66280.929577464791</v>
      </c>
      <c r="F3" s="130" t="s">
        <v>12</v>
      </c>
      <c r="G3" s="55" t="str">
        <f>TEXT(Table117[[#This Row],[Date of Joining]],"mmmm")</f>
        <v>Unknown</v>
      </c>
      <c r="H3" s="56">
        <v>2</v>
      </c>
      <c r="I3" s="57" t="s">
        <v>12</v>
      </c>
      <c r="J3" s="58" t="s">
        <v>12</v>
      </c>
    </row>
    <row r="4" spans="1:16">
      <c r="A4" s="52" t="s">
        <v>14</v>
      </c>
      <c r="B4" s="53" t="s">
        <v>15</v>
      </c>
      <c r="C4" s="53" t="s">
        <v>16</v>
      </c>
      <c r="D4" s="53" t="s">
        <v>17</v>
      </c>
      <c r="E4" s="54">
        <v>54255</v>
      </c>
      <c r="F4" s="130">
        <v>42015</v>
      </c>
      <c r="G4" s="55" t="str">
        <f>TEXT(Table117[[#This Row],[Date of Joining]],"mmmm")</f>
        <v>January</v>
      </c>
      <c r="H4" s="56">
        <v>1</v>
      </c>
      <c r="I4" s="57" t="s">
        <v>18</v>
      </c>
      <c r="J4" s="58" t="s">
        <v>19</v>
      </c>
    </row>
    <row r="5" spans="1:16">
      <c r="A5" s="52" t="s">
        <v>20</v>
      </c>
      <c r="B5" s="53" t="s">
        <v>21</v>
      </c>
      <c r="C5" s="53" t="s">
        <v>10</v>
      </c>
      <c r="D5" s="53" t="s">
        <v>17</v>
      </c>
      <c r="E5" s="54">
        <v>63184</v>
      </c>
      <c r="F5" s="130">
        <v>42022</v>
      </c>
      <c r="G5" s="55" t="str">
        <f>TEXT(Table117[[#This Row],[Date of Joining]],"mmmm")</f>
        <v>January</v>
      </c>
      <c r="H5" s="56">
        <v>2</v>
      </c>
      <c r="I5" s="57" t="s">
        <v>12</v>
      </c>
      <c r="J5" s="58" t="s">
        <v>22</v>
      </c>
    </row>
    <row r="6" spans="1:16">
      <c r="A6" s="52" t="s">
        <v>23</v>
      </c>
      <c r="B6" s="53" t="s">
        <v>24</v>
      </c>
      <c r="C6" s="53" t="s">
        <v>25</v>
      </c>
      <c r="D6" s="53" t="s">
        <v>26</v>
      </c>
      <c r="E6" s="54">
        <v>94406</v>
      </c>
      <c r="F6" s="130">
        <v>42029</v>
      </c>
      <c r="G6" s="55" t="str">
        <f>TEXT(Table117[[#This Row],[Date of Joining]],"mmmm")</f>
        <v>January</v>
      </c>
      <c r="H6" s="56">
        <v>1</v>
      </c>
      <c r="I6" s="57" t="s">
        <v>27</v>
      </c>
      <c r="J6" s="58" t="s">
        <v>28</v>
      </c>
    </row>
    <row r="7" spans="1:16">
      <c r="A7" s="52" t="s">
        <v>29</v>
      </c>
      <c r="B7" s="53" t="s">
        <v>30</v>
      </c>
      <c r="C7" s="53" t="s">
        <v>25</v>
      </c>
      <c r="D7" s="53" t="s">
        <v>17</v>
      </c>
      <c r="E7" s="54">
        <v>64120</v>
      </c>
      <c r="F7" s="130">
        <v>42036</v>
      </c>
      <c r="G7" s="55" t="str">
        <f>TEXT(Table117[[#This Row],[Date of Joining]],"mmmm")</f>
        <v>February</v>
      </c>
      <c r="H7" s="56">
        <v>1</v>
      </c>
      <c r="I7" s="57" t="s">
        <v>27</v>
      </c>
      <c r="J7" s="58" t="s">
        <v>31</v>
      </c>
    </row>
    <row r="8" spans="1:16">
      <c r="A8" s="52" t="s">
        <v>32</v>
      </c>
      <c r="B8" s="53" t="s">
        <v>21</v>
      </c>
      <c r="C8" s="53" t="s">
        <v>33</v>
      </c>
      <c r="D8" s="53" t="s">
        <v>34</v>
      </c>
      <c r="E8" s="54">
        <v>78421</v>
      </c>
      <c r="F8" s="130">
        <v>42043</v>
      </c>
      <c r="G8" s="55" t="str">
        <f>TEXT(Table117[[#This Row],[Date of Joining]],"mmmm")</f>
        <v>February</v>
      </c>
      <c r="H8" s="56">
        <v>2</v>
      </c>
      <c r="I8" s="57" t="s">
        <v>35</v>
      </c>
      <c r="J8" s="58" t="s">
        <v>36</v>
      </c>
    </row>
    <row r="9" spans="1:16">
      <c r="A9" s="52" t="s">
        <v>37</v>
      </c>
      <c r="B9" s="53" t="s">
        <v>38</v>
      </c>
      <c r="C9" s="53" t="s">
        <v>25</v>
      </c>
      <c r="D9" s="53" t="s">
        <v>12</v>
      </c>
      <c r="E9" s="54">
        <v>67721</v>
      </c>
      <c r="F9" s="130">
        <v>42050</v>
      </c>
      <c r="G9" s="55" t="str">
        <f>TEXT(Table117[[#This Row],[Date of Joining]],"mmmm")</f>
        <v>February</v>
      </c>
      <c r="H9" s="56">
        <v>2.9411764705882355</v>
      </c>
      <c r="I9" s="57" t="s">
        <v>27</v>
      </c>
      <c r="J9" s="58" t="s">
        <v>28</v>
      </c>
    </row>
    <row r="10" spans="1:16">
      <c r="A10" s="52" t="s">
        <v>39</v>
      </c>
      <c r="B10" s="53" t="s">
        <v>40</v>
      </c>
      <c r="C10" s="67" t="s">
        <v>41</v>
      </c>
      <c r="D10" s="53" t="s">
        <v>12</v>
      </c>
      <c r="E10" s="54">
        <v>35364</v>
      </c>
      <c r="F10" s="130">
        <v>42057</v>
      </c>
      <c r="G10" s="55" t="str">
        <f>TEXT(Table117[[#This Row],[Date of Joining]],"mmmm")</f>
        <v>February</v>
      </c>
      <c r="H10" s="56">
        <v>2</v>
      </c>
      <c r="I10" s="57" t="s">
        <v>18</v>
      </c>
      <c r="J10" s="58" t="s">
        <v>42</v>
      </c>
    </row>
    <row r="11" spans="1:16">
      <c r="A11" s="52" t="s">
        <v>43</v>
      </c>
      <c r="B11" s="53" t="s">
        <v>21</v>
      </c>
      <c r="C11" s="53" t="s">
        <v>33</v>
      </c>
      <c r="D11" s="53" t="s">
        <v>17</v>
      </c>
      <c r="E11" s="54">
        <v>97881</v>
      </c>
      <c r="F11" s="130">
        <v>42064</v>
      </c>
      <c r="G11" s="55" t="str">
        <f>TEXT(Table117[[#This Row],[Date of Joining]],"mmmm")</f>
        <v>March</v>
      </c>
      <c r="H11" s="56">
        <v>2.9491525423728815</v>
      </c>
      <c r="I11" s="57" t="s">
        <v>35</v>
      </c>
      <c r="J11" s="58" t="s">
        <v>44</v>
      </c>
    </row>
    <row r="12" spans="1:16">
      <c r="A12" s="52" t="s">
        <v>45</v>
      </c>
      <c r="B12" s="53" t="s">
        <v>40</v>
      </c>
      <c r="C12" s="53" t="s">
        <v>16</v>
      </c>
      <c r="D12" s="53" t="s">
        <v>46</v>
      </c>
      <c r="E12" s="54">
        <v>91846</v>
      </c>
      <c r="F12" s="130">
        <v>42071</v>
      </c>
      <c r="G12" s="55" t="str">
        <f>TEXT(Table117[[#This Row],[Date of Joining]],"mmmm")</f>
        <v>March</v>
      </c>
      <c r="H12" s="56">
        <v>2.9491525423728815</v>
      </c>
      <c r="I12" s="57" t="s">
        <v>27</v>
      </c>
      <c r="J12" s="58" t="s">
        <v>47</v>
      </c>
    </row>
    <row r="13" spans="1:16">
      <c r="A13" s="52" t="s">
        <v>48</v>
      </c>
      <c r="B13" s="53" t="s">
        <v>38</v>
      </c>
      <c r="C13" s="53" t="s">
        <v>10</v>
      </c>
      <c r="D13" s="53" t="s">
        <v>46</v>
      </c>
      <c r="E13" s="54">
        <v>64247</v>
      </c>
      <c r="F13" s="130">
        <v>42078</v>
      </c>
      <c r="G13" s="55" t="str">
        <f>TEXT(Table117[[#This Row],[Date of Joining]],"mmmm")</f>
        <v>March</v>
      </c>
      <c r="H13" s="56">
        <v>1</v>
      </c>
      <c r="I13" s="57" t="s">
        <v>35</v>
      </c>
      <c r="J13" s="58" t="s">
        <v>49</v>
      </c>
    </row>
    <row r="14" spans="1:16">
      <c r="A14" s="52" t="s">
        <v>50</v>
      </c>
      <c r="B14" s="53" t="s">
        <v>38</v>
      </c>
      <c r="C14" s="53" t="s">
        <v>33</v>
      </c>
      <c r="D14" s="53" t="s">
        <v>26</v>
      </c>
      <c r="E14" s="54">
        <v>91180</v>
      </c>
      <c r="F14" s="130">
        <v>42085</v>
      </c>
      <c r="G14" s="55" t="str">
        <f>TEXT(Table117[[#This Row],[Date of Joining]],"mmmm")</f>
        <v>March</v>
      </c>
      <c r="H14" s="56">
        <v>5</v>
      </c>
      <c r="I14" s="57" t="s">
        <v>27</v>
      </c>
      <c r="J14" s="58" t="s">
        <v>51</v>
      </c>
    </row>
    <row r="15" spans="1:16">
      <c r="A15" s="52" t="s">
        <v>52</v>
      </c>
      <c r="B15" s="53" t="s">
        <v>53</v>
      </c>
      <c r="C15" s="53" t="s">
        <v>25</v>
      </c>
      <c r="D15" s="53" t="s">
        <v>12</v>
      </c>
      <c r="E15" s="54">
        <v>96418</v>
      </c>
      <c r="F15" s="130">
        <v>42092</v>
      </c>
      <c r="G15" s="55" t="str">
        <f>TEXT(Table117[[#This Row],[Date of Joining]],"mmmm")</f>
        <v>March</v>
      </c>
      <c r="H15" s="56">
        <v>5</v>
      </c>
      <c r="I15" s="57" t="s">
        <v>27</v>
      </c>
      <c r="J15" s="58" t="s">
        <v>19</v>
      </c>
    </row>
    <row r="16" spans="1:16">
      <c r="A16" s="52" t="s">
        <v>54</v>
      </c>
      <c r="B16" s="67" t="s">
        <v>38</v>
      </c>
      <c r="C16" s="53" t="s">
        <v>12</v>
      </c>
      <c r="D16" s="53" t="s">
        <v>34</v>
      </c>
      <c r="E16" s="54">
        <v>62158</v>
      </c>
      <c r="F16" s="130">
        <v>42099</v>
      </c>
      <c r="G16" s="55" t="str">
        <f>TEXT(Table117[[#This Row],[Date of Joining]],"mmmm")</f>
        <v>April</v>
      </c>
      <c r="H16" s="56">
        <v>4</v>
      </c>
      <c r="I16" s="57" t="s">
        <v>12</v>
      </c>
      <c r="J16" s="58" t="s">
        <v>55</v>
      </c>
    </row>
    <row r="17" spans="1:10">
      <c r="A17" s="52" t="s">
        <v>56</v>
      </c>
      <c r="B17" s="53" t="s">
        <v>30</v>
      </c>
      <c r="C17" s="53" t="s">
        <v>16</v>
      </c>
      <c r="D17" s="53" t="s">
        <v>12</v>
      </c>
      <c r="E17" s="54">
        <v>59894</v>
      </c>
      <c r="F17" s="130">
        <v>42106</v>
      </c>
      <c r="G17" s="55" t="str">
        <f>TEXT(Table117[[#This Row],[Date of Joining]],"mmmm")</f>
        <v>April</v>
      </c>
      <c r="H17" s="56">
        <v>2</v>
      </c>
      <c r="I17" s="57" t="s">
        <v>27</v>
      </c>
      <c r="J17" s="58" t="s">
        <v>57</v>
      </c>
    </row>
    <row r="18" spans="1:10">
      <c r="A18" s="52" t="s">
        <v>58</v>
      </c>
      <c r="B18" s="53" t="s">
        <v>12</v>
      </c>
      <c r="C18" s="53" t="s">
        <v>33</v>
      </c>
      <c r="D18" s="53" t="s">
        <v>34</v>
      </c>
      <c r="E18" s="54">
        <v>92443</v>
      </c>
      <c r="F18" s="130">
        <v>42113</v>
      </c>
      <c r="G18" s="55" t="str">
        <f>TEXT(Table117[[#This Row],[Date of Joining]],"mmmm")</f>
        <v>April</v>
      </c>
      <c r="H18" s="56">
        <v>3</v>
      </c>
      <c r="I18" s="57" t="s">
        <v>18</v>
      </c>
      <c r="J18" s="58" t="s">
        <v>59</v>
      </c>
    </row>
    <row r="19" spans="1:10">
      <c r="A19" s="52" t="s">
        <v>60</v>
      </c>
      <c r="B19" s="67" t="s">
        <v>53</v>
      </c>
      <c r="C19" s="53" t="s">
        <v>12</v>
      </c>
      <c r="D19" s="53" t="s">
        <v>17</v>
      </c>
      <c r="E19" s="54">
        <v>90271</v>
      </c>
      <c r="F19" s="130">
        <v>42120</v>
      </c>
      <c r="G19" s="55" t="str">
        <f>TEXT(Table117[[#This Row],[Date of Joining]],"mmmm")</f>
        <v>April</v>
      </c>
      <c r="H19" s="56">
        <v>2.9285714285714284</v>
      </c>
      <c r="I19" s="57" t="s">
        <v>12</v>
      </c>
      <c r="J19" s="58" t="s">
        <v>61</v>
      </c>
    </row>
    <row r="20" spans="1:10">
      <c r="A20" s="52" t="s">
        <v>62</v>
      </c>
      <c r="B20" s="53" t="s">
        <v>30</v>
      </c>
      <c r="C20" s="53" t="s">
        <v>10</v>
      </c>
      <c r="D20" s="53" t="s">
        <v>63</v>
      </c>
      <c r="E20" s="54">
        <v>41341</v>
      </c>
      <c r="F20" s="130">
        <v>42127</v>
      </c>
      <c r="G20" s="55" t="str">
        <f>TEXT(Table117[[#This Row],[Date of Joining]],"mmmm")</f>
        <v>May</v>
      </c>
      <c r="H20" s="56">
        <v>1</v>
      </c>
      <c r="I20" s="57" t="s">
        <v>18</v>
      </c>
      <c r="J20" s="58" t="s">
        <v>64</v>
      </c>
    </row>
    <row r="21" spans="1:10">
      <c r="A21" s="52" t="s">
        <v>65</v>
      </c>
      <c r="B21" s="53" t="s">
        <v>21</v>
      </c>
      <c r="C21" s="53" t="s">
        <v>10</v>
      </c>
      <c r="D21" s="53" t="s">
        <v>46</v>
      </c>
      <c r="E21" s="54">
        <v>73602</v>
      </c>
      <c r="F21" s="130">
        <v>42134</v>
      </c>
      <c r="G21" s="55" t="str">
        <f>TEXT(Table117[[#This Row],[Date of Joining]],"mmmm")</f>
        <v>May</v>
      </c>
      <c r="H21" s="56">
        <v>2.9459459459459461</v>
      </c>
      <c r="I21" s="57" t="s">
        <v>12</v>
      </c>
      <c r="J21" s="58" t="s">
        <v>66</v>
      </c>
    </row>
    <row r="22" spans="1:10">
      <c r="A22" s="52" t="s">
        <v>67</v>
      </c>
      <c r="B22" s="67" t="s">
        <v>15</v>
      </c>
      <c r="C22" s="53" t="s">
        <v>12</v>
      </c>
      <c r="D22" s="53" t="s">
        <v>34</v>
      </c>
      <c r="E22" s="54">
        <v>67531</v>
      </c>
      <c r="F22" s="130">
        <v>42141</v>
      </c>
      <c r="G22" s="55" t="str">
        <f>TEXT(Table117[[#This Row],[Date of Joining]],"mmmm")</f>
        <v>May</v>
      </c>
      <c r="H22" s="56">
        <v>5</v>
      </c>
      <c r="I22" s="57" t="s">
        <v>35</v>
      </c>
      <c r="J22" s="58" t="s">
        <v>68</v>
      </c>
    </row>
    <row r="23" spans="1:10">
      <c r="A23" s="52" t="s">
        <v>69</v>
      </c>
      <c r="B23" s="53" t="s">
        <v>30</v>
      </c>
      <c r="C23" s="53" t="s">
        <v>16</v>
      </c>
      <c r="D23" s="53" t="s">
        <v>26</v>
      </c>
      <c r="E23" s="54">
        <v>65248.853658536587</v>
      </c>
      <c r="F23" s="130">
        <v>42148</v>
      </c>
      <c r="G23" s="55" t="str">
        <f>TEXT(Table117[[#This Row],[Date of Joining]],"mmmm")</f>
        <v>May</v>
      </c>
      <c r="H23" s="56">
        <v>2</v>
      </c>
      <c r="I23" s="57" t="s">
        <v>18</v>
      </c>
      <c r="J23" s="58" t="s">
        <v>70</v>
      </c>
    </row>
    <row r="24" spans="1:10">
      <c r="A24" s="52" t="s">
        <v>71</v>
      </c>
      <c r="B24" s="53" t="s">
        <v>30</v>
      </c>
      <c r="C24" s="53" t="s">
        <v>16</v>
      </c>
      <c r="D24" s="53" t="s">
        <v>12</v>
      </c>
      <c r="E24" s="54">
        <v>98922</v>
      </c>
      <c r="F24" s="130">
        <v>42155</v>
      </c>
      <c r="G24" s="55" t="str">
        <f>TEXT(Table117[[#This Row],[Date of Joining]],"mmmm")</f>
        <v>May</v>
      </c>
      <c r="H24" s="56">
        <v>4</v>
      </c>
      <c r="I24" s="57" t="s">
        <v>12</v>
      </c>
      <c r="J24" s="58" t="s">
        <v>72</v>
      </c>
    </row>
    <row r="25" spans="1:10">
      <c r="A25" s="52" t="s">
        <v>73</v>
      </c>
      <c r="B25" s="53" t="s">
        <v>15</v>
      </c>
      <c r="C25" s="53" t="s">
        <v>10</v>
      </c>
      <c r="D25" s="53" t="s">
        <v>34</v>
      </c>
      <c r="E25" s="54">
        <v>38333</v>
      </c>
      <c r="F25" s="130">
        <v>42162</v>
      </c>
      <c r="G25" s="55" t="str">
        <f>TEXT(Table117[[#This Row],[Date of Joining]],"mmmm")</f>
        <v>June</v>
      </c>
      <c r="H25" s="56">
        <v>5</v>
      </c>
      <c r="I25" s="57" t="s">
        <v>12</v>
      </c>
      <c r="J25" s="58" t="s">
        <v>74</v>
      </c>
    </row>
    <row r="26" spans="1:10">
      <c r="A26" s="52" t="s">
        <v>75</v>
      </c>
      <c r="B26" s="53" t="s">
        <v>21</v>
      </c>
      <c r="C26" s="53" t="s">
        <v>41</v>
      </c>
      <c r="D26" s="53" t="s">
        <v>46</v>
      </c>
      <c r="E26" s="54">
        <v>36515</v>
      </c>
      <c r="F26" s="130">
        <v>42169</v>
      </c>
      <c r="G26" s="55" t="str">
        <f>TEXT(Table117[[#This Row],[Date of Joining]],"mmmm")</f>
        <v>June</v>
      </c>
      <c r="H26" s="56">
        <v>3</v>
      </c>
      <c r="I26" s="57" t="s">
        <v>27</v>
      </c>
      <c r="J26" s="58" t="s">
        <v>76</v>
      </c>
    </row>
    <row r="27" spans="1:10">
      <c r="A27" s="52" t="s">
        <v>77</v>
      </c>
      <c r="B27" s="53" t="s">
        <v>38</v>
      </c>
      <c r="C27" s="53" t="s">
        <v>10</v>
      </c>
      <c r="D27" s="53" t="s">
        <v>12</v>
      </c>
      <c r="E27" s="54">
        <v>91005</v>
      </c>
      <c r="F27" s="130">
        <v>42176</v>
      </c>
      <c r="G27" s="55" t="str">
        <f>TEXT(Table117[[#This Row],[Date of Joining]],"mmmm")</f>
        <v>June</v>
      </c>
      <c r="H27" s="56">
        <v>1</v>
      </c>
      <c r="I27" s="57" t="s">
        <v>18</v>
      </c>
      <c r="J27" s="58" t="s">
        <v>78</v>
      </c>
    </row>
    <row r="28" spans="1:10">
      <c r="A28" s="52" t="s">
        <v>79</v>
      </c>
      <c r="B28" s="53" t="s">
        <v>40</v>
      </c>
      <c r="C28" s="53" t="s">
        <v>12</v>
      </c>
      <c r="D28" s="53" t="s">
        <v>12</v>
      </c>
      <c r="E28" s="54">
        <v>52272</v>
      </c>
      <c r="F28" s="130">
        <v>42183</v>
      </c>
      <c r="G28" s="55" t="str">
        <f>TEXT(Table117[[#This Row],[Date of Joining]],"mmmm")</f>
        <v>June</v>
      </c>
      <c r="H28" s="56">
        <v>3</v>
      </c>
      <c r="I28" s="57" t="s">
        <v>12</v>
      </c>
      <c r="J28" s="58" t="s">
        <v>80</v>
      </c>
    </row>
    <row r="29" spans="1:10">
      <c r="A29" s="52" t="s">
        <v>81</v>
      </c>
      <c r="B29" s="53" t="s">
        <v>15</v>
      </c>
      <c r="C29" s="53" t="s">
        <v>25</v>
      </c>
      <c r="D29" s="53" t="s">
        <v>17</v>
      </c>
      <c r="E29" s="54">
        <v>76518</v>
      </c>
      <c r="F29" s="130">
        <v>42190</v>
      </c>
      <c r="G29" s="55" t="str">
        <f>TEXT(Table117[[#This Row],[Date of Joining]],"mmmm")</f>
        <v>July</v>
      </c>
      <c r="H29" s="56">
        <v>2</v>
      </c>
      <c r="I29" s="57" t="s">
        <v>35</v>
      </c>
      <c r="J29" s="58" t="s">
        <v>82</v>
      </c>
    </row>
    <row r="30" spans="1:10">
      <c r="A30" s="52" t="s">
        <v>83</v>
      </c>
      <c r="B30" s="53" t="s">
        <v>21</v>
      </c>
      <c r="C30" s="53" t="s">
        <v>33</v>
      </c>
      <c r="D30" s="53" t="s">
        <v>46</v>
      </c>
      <c r="E30" s="54">
        <v>41448</v>
      </c>
      <c r="F30" s="130">
        <v>42197</v>
      </c>
      <c r="G30" s="55" t="str">
        <f>TEXT(Table117[[#This Row],[Date of Joining]],"mmmm")</f>
        <v>July</v>
      </c>
      <c r="H30" s="56">
        <v>3</v>
      </c>
      <c r="I30" s="57" t="s">
        <v>18</v>
      </c>
      <c r="J30" s="58" t="s">
        <v>84</v>
      </c>
    </row>
    <row r="31" spans="1:10">
      <c r="A31" s="52" t="s">
        <v>85</v>
      </c>
      <c r="B31" s="53" t="s">
        <v>24</v>
      </c>
      <c r="C31" s="53" t="s">
        <v>16</v>
      </c>
      <c r="D31" s="53" t="s">
        <v>46</v>
      </c>
      <c r="E31" s="54">
        <v>49282</v>
      </c>
      <c r="F31" s="130">
        <v>42204</v>
      </c>
      <c r="G31" s="55" t="str">
        <f>TEXT(Table117[[#This Row],[Date of Joining]],"mmmm")</f>
        <v>July</v>
      </c>
      <c r="H31" s="56">
        <v>2</v>
      </c>
      <c r="I31" s="57" t="s">
        <v>35</v>
      </c>
      <c r="J31" s="58" t="s">
        <v>86</v>
      </c>
    </row>
    <row r="32" spans="1:10">
      <c r="A32" s="52" t="s">
        <v>87</v>
      </c>
      <c r="B32" s="53" t="s">
        <v>53</v>
      </c>
      <c r="C32" s="53" t="s">
        <v>41</v>
      </c>
      <c r="D32" s="53" t="s">
        <v>46</v>
      </c>
      <c r="E32" s="54">
        <v>92959</v>
      </c>
      <c r="F32" s="130">
        <v>42211</v>
      </c>
      <c r="G32" s="55" t="str">
        <f>TEXT(Table117[[#This Row],[Date of Joining]],"mmmm")</f>
        <v>July</v>
      </c>
      <c r="H32" s="56">
        <v>5</v>
      </c>
      <c r="I32" s="57" t="s">
        <v>12</v>
      </c>
      <c r="J32" s="58" t="s">
        <v>88</v>
      </c>
    </row>
    <row r="33" spans="1:10">
      <c r="A33" s="52" t="s">
        <v>89</v>
      </c>
      <c r="B33" s="53" t="s">
        <v>12</v>
      </c>
      <c r="C33" s="67" t="s">
        <v>41</v>
      </c>
      <c r="D33" s="53" t="s">
        <v>12</v>
      </c>
      <c r="E33" s="54">
        <v>92259</v>
      </c>
      <c r="F33" s="130" t="s">
        <v>12</v>
      </c>
      <c r="G33" s="55" t="str">
        <f>TEXT(Table117[[#This Row],[Date of Joining]],"mmmm")</f>
        <v>Unknown</v>
      </c>
      <c r="H33" s="56">
        <v>1</v>
      </c>
      <c r="I33" s="57" t="s">
        <v>12</v>
      </c>
      <c r="J33" s="58" t="s">
        <v>90</v>
      </c>
    </row>
    <row r="34" spans="1:10">
      <c r="A34" s="52" t="s">
        <v>91</v>
      </c>
      <c r="B34" s="53" t="s">
        <v>15</v>
      </c>
      <c r="C34" s="53" t="s">
        <v>16</v>
      </c>
      <c r="D34" s="53" t="s">
        <v>17</v>
      </c>
      <c r="E34" s="54">
        <v>92299</v>
      </c>
      <c r="F34" s="130">
        <v>42225</v>
      </c>
      <c r="G34" s="55" t="str">
        <f>TEXT(Table117[[#This Row],[Date of Joining]],"mmmm")</f>
        <v>August</v>
      </c>
      <c r="H34" s="56">
        <v>3</v>
      </c>
      <c r="I34" s="57" t="s">
        <v>27</v>
      </c>
      <c r="J34" s="58" t="s">
        <v>92</v>
      </c>
    </row>
    <row r="35" spans="1:10">
      <c r="A35" s="52" t="s">
        <v>93</v>
      </c>
      <c r="B35" s="53" t="s">
        <v>38</v>
      </c>
      <c r="C35" s="53" t="s">
        <v>16</v>
      </c>
      <c r="D35" s="53" t="s">
        <v>12</v>
      </c>
      <c r="E35" s="54">
        <v>95586</v>
      </c>
      <c r="F35" s="130">
        <v>42232</v>
      </c>
      <c r="G35" s="55" t="str">
        <f>TEXT(Table117[[#This Row],[Date of Joining]],"mmmm")</f>
        <v>August</v>
      </c>
      <c r="H35" s="56">
        <v>3</v>
      </c>
      <c r="I35" s="57" t="s">
        <v>18</v>
      </c>
      <c r="J35" s="58" t="s">
        <v>94</v>
      </c>
    </row>
    <row r="36" spans="1:10">
      <c r="A36" s="52" t="s">
        <v>95</v>
      </c>
      <c r="B36" s="53" t="s">
        <v>40</v>
      </c>
      <c r="C36" s="53" t="s">
        <v>12</v>
      </c>
      <c r="D36" s="53" t="s">
        <v>26</v>
      </c>
      <c r="E36" s="54">
        <v>95367</v>
      </c>
      <c r="F36" s="130">
        <v>42239</v>
      </c>
      <c r="G36" s="55" t="str">
        <f>TEXT(Table117[[#This Row],[Date of Joining]],"mmmm")</f>
        <v>August</v>
      </c>
      <c r="H36" s="56">
        <v>2.9381443298969074</v>
      </c>
      <c r="I36" s="57" t="s">
        <v>27</v>
      </c>
      <c r="J36" s="58" t="s">
        <v>96</v>
      </c>
    </row>
    <row r="37" spans="1:10">
      <c r="A37" s="52" t="s">
        <v>97</v>
      </c>
      <c r="B37" s="53" t="s">
        <v>24</v>
      </c>
      <c r="C37" s="53" t="s">
        <v>25</v>
      </c>
      <c r="D37" s="53" t="s">
        <v>63</v>
      </c>
      <c r="E37" s="54">
        <v>79549</v>
      </c>
      <c r="F37" s="130">
        <v>42246</v>
      </c>
      <c r="G37" s="55" t="str">
        <f>TEXT(Table117[[#This Row],[Date of Joining]],"mmmm")</f>
        <v>August</v>
      </c>
      <c r="H37" s="56">
        <v>3</v>
      </c>
      <c r="I37" s="57" t="s">
        <v>12</v>
      </c>
      <c r="J37" s="58" t="s">
        <v>98</v>
      </c>
    </row>
    <row r="38" spans="1:10">
      <c r="A38" s="52" t="s">
        <v>99</v>
      </c>
      <c r="B38" s="67" t="s">
        <v>21</v>
      </c>
      <c r="C38" s="53" t="s">
        <v>12</v>
      </c>
      <c r="D38" s="53" t="s">
        <v>46</v>
      </c>
      <c r="E38" s="54">
        <v>54463</v>
      </c>
      <c r="F38" s="130">
        <v>42253</v>
      </c>
      <c r="G38" s="55" t="str">
        <f>TEXT(Table117[[#This Row],[Date of Joining]],"mmmm")</f>
        <v>September</v>
      </c>
      <c r="H38" s="56">
        <v>4</v>
      </c>
      <c r="I38" s="57" t="s">
        <v>27</v>
      </c>
      <c r="J38" s="58" t="s">
        <v>12</v>
      </c>
    </row>
    <row r="39" spans="1:10">
      <c r="A39" s="52" t="s">
        <v>100</v>
      </c>
      <c r="B39" s="53" t="s">
        <v>21</v>
      </c>
      <c r="C39" s="53" t="s">
        <v>33</v>
      </c>
      <c r="D39" s="53" t="s">
        <v>26</v>
      </c>
      <c r="E39" s="54">
        <v>89781</v>
      </c>
      <c r="F39" s="130">
        <v>42260</v>
      </c>
      <c r="G39" s="55" t="str">
        <f>TEXT(Table117[[#This Row],[Date of Joining]],"mmmm")</f>
        <v>September</v>
      </c>
      <c r="H39" s="56">
        <v>2.9263157894736844</v>
      </c>
      <c r="I39" s="57" t="s">
        <v>35</v>
      </c>
      <c r="J39" s="58" t="s">
        <v>101</v>
      </c>
    </row>
    <row r="40" spans="1:10">
      <c r="A40" s="52" t="s">
        <v>102</v>
      </c>
      <c r="B40" s="53" t="s">
        <v>21</v>
      </c>
      <c r="C40" s="53" t="s">
        <v>16</v>
      </c>
      <c r="D40" s="53" t="s">
        <v>12</v>
      </c>
      <c r="E40" s="54">
        <v>64796</v>
      </c>
      <c r="F40" s="130">
        <v>42267</v>
      </c>
      <c r="G40" s="55" t="str">
        <f>TEXT(Table117[[#This Row],[Date of Joining]],"mmmm")</f>
        <v>September</v>
      </c>
      <c r="H40" s="56">
        <v>2.9263157894736844</v>
      </c>
      <c r="I40" s="57" t="s">
        <v>18</v>
      </c>
      <c r="J40" s="58" t="s">
        <v>103</v>
      </c>
    </row>
    <row r="41" spans="1:10">
      <c r="A41" s="52" t="s">
        <v>104</v>
      </c>
      <c r="B41" s="53" t="s">
        <v>24</v>
      </c>
      <c r="C41" s="53" t="s">
        <v>41</v>
      </c>
      <c r="D41" s="53" t="s">
        <v>46</v>
      </c>
      <c r="E41" s="54">
        <v>52093</v>
      </c>
      <c r="F41" s="130">
        <v>42274</v>
      </c>
      <c r="G41" s="55" t="str">
        <f>TEXT(Table117[[#This Row],[Date of Joining]],"mmmm")</f>
        <v>September</v>
      </c>
      <c r="H41" s="56">
        <v>5</v>
      </c>
      <c r="I41" s="57" t="s">
        <v>12</v>
      </c>
      <c r="J41" s="58" t="s">
        <v>105</v>
      </c>
    </row>
    <row r="42" spans="1:10">
      <c r="A42" s="52" t="s">
        <v>106</v>
      </c>
      <c r="B42" s="53" t="s">
        <v>40</v>
      </c>
      <c r="C42" s="53" t="s">
        <v>16</v>
      </c>
      <c r="D42" s="53" t="s">
        <v>46</v>
      </c>
      <c r="E42" s="54">
        <v>48224</v>
      </c>
      <c r="F42" s="130">
        <v>42281</v>
      </c>
      <c r="G42" s="55" t="str">
        <f>TEXT(Table117[[#This Row],[Date of Joining]],"mmmm")</f>
        <v>October</v>
      </c>
      <c r="H42" s="56">
        <v>3</v>
      </c>
      <c r="I42" s="57" t="s">
        <v>12</v>
      </c>
      <c r="J42" s="58" t="s">
        <v>107</v>
      </c>
    </row>
    <row r="43" spans="1:10">
      <c r="A43" s="52" t="s">
        <v>108</v>
      </c>
      <c r="B43" s="53" t="s">
        <v>53</v>
      </c>
      <c r="C43" s="53" t="s">
        <v>10</v>
      </c>
      <c r="D43" s="53" t="s">
        <v>46</v>
      </c>
      <c r="E43" s="54">
        <v>64268.634615384617</v>
      </c>
      <c r="F43" s="130" t="s">
        <v>12</v>
      </c>
      <c r="G43" s="55" t="str">
        <f>TEXT(Table117[[#This Row],[Date of Joining]],"mmmm")</f>
        <v>Unknown</v>
      </c>
      <c r="H43" s="56">
        <v>4</v>
      </c>
      <c r="I43" s="57" t="s">
        <v>35</v>
      </c>
      <c r="J43" s="58" t="s">
        <v>109</v>
      </c>
    </row>
    <row r="44" spans="1:10">
      <c r="A44" s="52" t="s">
        <v>110</v>
      </c>
      <c r="B44" s="53" t="s">
        <v>21</v>
      </c>
      <c r="C44" s="53" t="s">
        <v>33</v>
      </c>
      <c r="D44" s="53" t="s">
        <v>17</v>
      </c>
      <c r="E44" s="54">
        <v>33956</v>
      </c>
      <c r="F44" s="130">
        <v>42295</v>
      </c>
      <c r="G44" s="55" t="str">
        <f>TEXT(Table117[[#This Row],[Date of Joining]],"mmmm")</f>
        <v>October</v>
      </c>
      <c r="H44" s="56">
        <v>2.8913043478260869</v>
      </c>
      <c r="I44" s="57" t="s">
        <v>12</v>
      </c>
      <c r="J44" s="58" t="s">
        <v>111</v>
      </c>
    </row>
    <row r="45" spans="1:10">
      <c r="A45" s="52" t="s">
        <v>112</v>
      </c>
      <c r="B45" s="67" t="s">
        <v>53</v>
      </c>
      <c r="C45" s="53" t="s">
        <v>12</v>
      </c>
      <c r="D45" s="53" t="s">
        <v>63</v>
      </c>
      <c r="E45" s="54">
        <v>64913</v>
      </c>
      <c r="F45" s="130">
        <v>42302</v>
      </c>
      <c r="G45" s="55" t="str">
        <f>TEXT(Table117[[#This Row],[Date of Joining]],"mmmm")</f>
        <v>October</v>
      </c>
      <c r="H45" s="56">
        <v>1</v>
      </c>
      <c r="I45" s="57" t="s">
        <v>35</v>
      </c>
      <c r="J45" s="58" t="s">
        <v>113</v>
      </c>
    </row>
    <row r="46" spans="1:10">
      <c r="A46" s="52" t="s">
        <v>114</v>
      </c>
      <c r="B46" s="53" t="s">
        <v>21</v>
      </c>
      <c r="C46" s="53" t="s">
        <v>41</v>
      </c>
      <c r="D46" s="53" t="s">
        <v>63</v>
      </c>
      <c r="E46" s="54">
        <v>35326</v>
      </c>
      <c r="F46" s="130">
        <v>42309</v>
      </c>
      <c r="G46" s="55" t="str">
        <f>TEXT(Table117[[#This Row],[Date of Joining]],"mmmm")</f>
        <v>November</v>
      </c>
      <c r="H46" s="56">
        <v>2.912087912087912</v>
      </c>
      <c r="I46" s="57" t="s">
        <v>35</v>
      </c>
      <c r="J46" s="58" t="s">
        <v>115</v>
      </c>
    </row>
    <row r="47" spans="1:10">
      <c r="A47" s="52" t="s">
        <v>116</v>
      </c>
      <c r="B47" s="53" t="s">
        <v>40</v>
      </c>
      <c r="C47" s="53" t="s">
        <v>10</v>
      </c>
      <c r="D47" s="53" t="s">
        <v>12</v>
      </c>
      <c r="E47" s="54">
        <v>81610</v>
      </c>
      <c r="F47" s="130">
        <v>42316</v>
      </c>
      <c r="G47" s="55" t="str">
        <f>TEXT(Table117[[#This Row],[Date of Joining]],"mmmm")</f>
        <v>November</v>
      </c>
      <c r="H47" s="56">
        <v>1</v>
      </c>
      <c r="I47" s="57" t="s">
        <v>12</v>
      </c>
      <c r="J47" s="58" t="s">
        <v>117</v>
      </c>
    </row>
    <row r="48" spans="1:10">
      <c r="A48" s="52" t="s">
        <v>118</v>
      </c>
      <c r="B48" s="53" t="s">
        <v>12</v>
      </c>
      <c r="C48" s="53" t="s">
        <v>16</v>
      </c>
      <c r="D48" s="53" t="s">
        <v>12</v>
      </c>
      <c r="E48" s="54">
        <v>58962</v>
      </c>
      <c r="F48" s="130">
        <v>42323</v>
      </c>
      <c r="G48" s="55" t="str">
        <f>TEXT(Table117[[#This Row],[Date of Joining]],"mmmm")</f>
        <v>November</v>
      </c>
      <c r="H48" s="56">
        <v>3</v>
      </c>
      <c r="I48" s="57" t="s">
        <v>18</v>
      </c>
      <c r="J48" s="58" t="s">
        <v>19</v>
      </c>
    </row>
    <row r="49" spans="1:10">
      <c r="A49" s="52" t="s">
        <v>119</v>
      </c>
      <c r="B49" s="53" t="s">
        <v>40</v>
      </c>
      <c r="C49" s="53" t="s">
        <v>33</v>
      </c>
      <c r="D49" s="53" t="s">
        <v>17</v>
      </c>
      <c r="E49" s="54">
        <v>92701</v>
      </c>
      <c r="F49" s="130">
        <v>42330</v>
      </c>
      <c r="G49" s="55" t="str">
        <f>TEXT(Table117[[#This Row],[Date of Joining]],"mmmm")</f>
        <v>November</v>
      </c>
      <c r="H49" s="56">
        <v>3</v>
      </c>
      <c r="I49" s="57" t="s">
        <v>18</v>
      </c>
      <c r="J49" s="58" t="s">
        <v>120</v>
      </c>
    </row>
    <row r="50" spans="1:10">
      <c r="A50" s="52" t="s">
        <v>121</v>
      </c>
      <c r="B50" s="53" t="s">
        <v>40</v>
      </c>
      <c r="C50" s="53" t="s">
        <v>16</v>
      </c>
      <c r="D50" s="53" t="s">
        <v>34</v>
      </c>
      <c r="E50" s="54">
        <v>58245</v>
      </c>
      <c r="F50" s="130">
        <v>42337</v>
      </c>
      <c r="G50" s="55" t="str">
        <f>TEXT(Table117[[#This Row],[Date of Joining]],"mmmm")</f>
        <v>November</v>
      </c>
      <c r="H50" s="56">
        <v>4</v>
      </c>
      <c r="I50" s="57" t="s">
        <v>12</v>
      </c>
      <c r="J50" s="58" t="s">
        <v>122</v>
      </c>
    </row>
    <row r="51" spans="1:10">
      <c r="A51" s="52" t="s">
        <v>123</v>
      </c>
      <c r="B51" s="53" t="s">
        <v>24</v>
      </c>
      <c r="C51" s="53" t="s">
        <v>10</v>
      </c>
      <c r="D51" s="53" t="s">
        <v>12</v>
      </c>
      <c r="E51" s="54">
        <v>66513</v>
      </c>
      <c r="F51" s="130">
        <v>42344</v>
      </c>
      <c r="G51" s="55" t="str">
        <f>TEXT(Table117[[#This Row],[Date of Joining]],"mmmm")</f>
        <v>December</v>
      </c>
      <c r="H51" s="56">
        <v>2</v>
      </c>
      <c r="I51" s="57" t="s">
        <v>18</v>
      </c>
      <c r="J51" s="58" t="s">
        <v>36</v>
      </c>
    </row>
    <row r="52" spans="1:10">
      <c r="A52" s="52" t="s">
        <v>124</v>
      </c>
      <c r="B52" s="53" t="s">
        <v>15</v>
      </c>
      <c r="C52" s="53" t="s">
        <v>16</v>
      </c>
      <c r="D52" s="53" t="s">
        <v>17</v>
      </c>
      <c r="E52" s="54">
        <v>78720</v>
      </c>
      <c r="F52" s="130">
        <v>42351</v>
      </c>
      <c r="G52" s="55" t="str">
        <f>TEXT(Table117[[#This Row],[Date of Joining]],"mmmm")</f>
        <v>December</v>
      </c>
      <c r="H52" s="56">
        <v>5</v>
      </c>
      <c r="I52" s="57" t="s">
        <v>35</v>
      </c>
      <c r="J52" s="58" t="s">
        <v>109</v>
      </c>
    </row>
    <row r="53" spans="1:10">
      <c r="A53" s="52" t="s">
        <v>125</v>
      </c>
      <c r="B53" s="53" t="s">
        <v>40</v>
      </c>
      <c r="C53" s="53" t="s">
        <v>12</v>
      </c>
      <c r="D53" s="53" t="s">
        <v>12</v>
      </c>
      <c r="E53" s="54">
        <v>30686</v>
      </c>
      <c r="F53" s="130" t="s">
        <v>12</v>
      </c>
      <c r="G53" s="55" t="str">
        <f>TEXT(Table117[[#This Row],[Date of Joining]],"mmmm")</f>
        <v>Unknown</v>
      </c>
      <c r="H53" s="56">
        <v>2</v>
      </c>
      <c r="I53" s="57" t="s">
        <v>35</v>
      </c>
      <c r="J53" s="58" t="s">
        <v>126</v>
      </c>
    </row>
    <row r="54" spans="1:10">
      <c r="A54" s="52" t="s">
        <v>127</v>
      </c>
      <c r="B54" s="53" t="s">
        <v>38</v>
      </c>
      <c r="C54" s="53" t="s">
        <v>25</v>
      </c>
      <c r="D54" s="53" t="s">
        <v>34</v>
      </c>
      <c r="E54" s="54">
        <v>39423</v>
      </c>
      <c r="F54" s="130">
        <v>42365</v>
      </c>
      <c r="G54" s="55" t="str">
        <f>TEXT(Table117[[#This Row],[Date of Joining]],"mmmm")</f>
        <v>December</v>
      </c>
      <c r="H54" s="56">
        <v>5</v>
      </c>
      <c r="I54" s="57" t="s">
        <v>12</v>
      </c>
      <c r="J54" s="58" t="s">
        <v>128</v>
      </c>
    </row>
    <row r="55" spans="1:10">
      <c r="A55" s="52" t="s">
        <v>129</v>
      </c>
      <c r="B55" s="53" t="s">
        <v>15</v>
      </c>
      <c r="C55" s="67" t="s">
        <v>41</v>
      </c>
      <c r="D55" s="53" t="s">
        <v>12</v>
      </c>
      <c r="E55" s="54">
        <v>30280</v>
      </c>
      <c r="F55" s="130">
        <v>42372</v>
      </c>
      <c r="G55" s="55" t="str">
        <f>TEXT(Table117[[#This Row],[Date of Joining]],"mmmm")</f>
        <v>January</v>
      </c>
      <c r="H55" s="56">
        <v>1</v>
      </c>
      <c r="I55" s="57" t="s">
        <v>12</v>
      </c>
      <c r="J55" s="58" t="s">
        <v>130</v>
      </c>
    </row>
    <row r="56" spans="1:10">
      <c r="A56" s="52" t="s">
        <v>131</v>
      </c>
      <c r="B56" s="53" t="s">
        <v>15</v>
      </c>
      <c r="C56" s="53" t="s">
        <v>10</v>
      </c>
      <c r="D56" s="53" t="s">
        <v>46</v>
      </c>
      <c r="E56" s="54">
        <v>33352</v>
      </c>
      <c r="F56" s="130">
        <v>42379</v>
      </c>
      <c r="G56" s="55" t="str">
        <f>TEXT(Table117[[#This Row],[Date of Joining]],"mmmm")</f>
        <v>January</v>
      </c>
      <c r="H56" s="56">
        <v>3</v>
      </c>
      <c r="I56" s="57" t="s">
        <v>35</v>
      </c>
      <c r="J56" s="58" t="s">
        <v>70</v>
      </c>
    </row>
    <row r="57" spans="1:10">
      <c r="A57" s="52" t="s">
        <v>132</v>
      </c>
      <c r="B57" s="53" t="s">
        <v>53</v>
      </c>
      <c r="C57" s="53" t="s">
        <v>41</v>
      </c>
      <c r="D57" s="53" t="s">
        <v>46</v>
      </c>
      <c r="E57" s="54">
        <v>75633</v>
      </c>
      <c r="F57" s="130">
        <v>42386</v>
      </c>
      <c r="G57" s="55" t="str">
        <f>TEXT(Table117[[#This Row],[Date of Joining]],"mmmm")</f>
        <v>January</v>
      </c>
      <c r="H57" s="56">
        <v>5</v>
      </c>
      <c r="I57" s="57" t="s">
        <v>18</v>
      </c>
      <c r="J57" s="58" t="s">
        <v>133</v>
      </c>
    </row>
    <row r="58" spans="1:10">
      <c r="A58" s="52" t="s">
        <v>134</v>
      </c>
      <c r="B58" s="53" t="s">
        <v>40</v>
      </c>
      <c r="C58" s="53" t="s">
        <v>12</v>
      </c>
      <c r="D58" s="53" t="s">
        <v>26</v>
      </c>
      <c r="E58" s="54">
        <v>74815</v>
      </c>
      <c r="F58" s="130">
        <v>42393</v>
      </c>
      <c r="G58" s="55" t="str">
        <f>TEXT(Table117[[#This Row],[Date of Joining]],"mmmm")</f>
        <v>January</v>
      </c>
      <c r="H58" s="56">
        <v>5</v>
      </c>
      <c r="I58" s="57" t="s">
        <v>35</v>
      </c>
      <c r="J58" s="58" t="s">
        <v>135</v>
      </c>
    </row>
    <row r="59" spans="1:10">
      <c r="A59" s="52" t="s">
        <v>136</v>
      </c>
      <c r="B59" s="53" t="s">
        <v>24</v>
      </c>
      <c r="C59" s="53" t="s">
        <v>25</v>
      </c>
      <c r="D59" s="53" t="s">
        <v>63</v>
      </c>
      <c r="E59" s="54">
        <v>60011</v>
      </c>
      <c r="F59" s="130">
        <v>42400</v>
      </c>
      <c r="G59" s="55" t="str">
        <f>TEXT(Table117[[#This Row],[Date of Joining]],"mmmm")</f>
        <v>January</v>
      </c>
      <c r="H59" s="56">
        <v>1</v>
      </c>
      <c r="I59" s="57" t="s">
        <v>27</v>
      </c>
      <c r="J59" s="58" t="s">
        <v>137</v>
      </c>
    </row>
    <row r="60" spans="1:10">
      <c r="A60" s="52" t="s">
        <v>138</v>
      </c>
      <c r="B60" s="67" t="s">
        <v>15</v>
      </c>
      <c r="C60" s="53" t="s">
        <v>12</v>
      </c>
      <c r="D60" s="53" t="s">
        <v>34</v>
      </c>
      <c r="E60" s="54">
        <v>96949</v>
      </c>
      <c r="F60" s="130">
        <v>42407</v>
      </c>
      <c r="G60" s="55" t="str">
        <f>TEXT(Table117[[#This Row],[Date of Joining]],"mmmm")</f>
        <v>February</v>
      </c>
      <c r="H60" s="56">
        <v>3</v>
      </c>
      <c r="I60" s="57" t="s">
        <v>12</v>
      </c>
      <c r="J60" s="58" t="s">
        <v>84</v>
      </c>
    </row>
    <row r="61" spans="1:10">
      <c r="A61" s="52" t="s">
        <v>139</v>
      </c>
      <c r="B61" s="53" t="s">
        <v>38</v>
      </c>
      <c r="C61" s="67" t="s">
        <v>41</v>
      </c>
      <c r="D61" s="53" t="s">
        <v>12</v>
      </c>
      <c r="E61" s="54">
        <v>84924</v>
      </c>
      <c r="F61" s="130">
        <v>42414</v>
      </c>
      <c r="G61" s="55" t="str">
        <f>TEXT(Table117[[#This Row],[Date of Joining]],"mmmm")</f>
        <v>February</v>
      </c>
      <c r="H61" s="56">
        <v>5</v>
      </c>
      <c r="I61" s="57" t="s">
        <v>27</v>
      </c>
      <c r="J61" s="58" t="s">
        <v>140</v>
      </c>
    </row>
    <row r="62" spans="1:10">
      <c r="A62" s="52" t="s">
        <v>141</v>
      </c>
      <c r="B62" s="53" t="s">
        <v>38</v>
      </c>
      <c r="C62" s="53" t="s">
        <v>10</v>
      </c>
      <c r="D62" s="53" t="s">
        <v>26</v>
      </c>
      <c r="E62" s="54">
        <v>82033</v>
      </c>
      <c r="F62" s="130">
        <v>42421</v>
      </c>
      <c r="G62" s="55" t="str">
        <f>TEXT(Table117[[#This Row],[Date of Joining]],"mmmm")</f>
        <v>February</v>
      </c>
      <c r="H62" s="56">
        <v>1</v>
      </c>
      <c r="I62" s="57" t="s">
        <v>12</v>
      </c>
      <c r="J62" s="58" t="s">
        <v>117</v>
      </c>
    </row>
    <row r="63" spans="1:10">
      <c r="A63" s="52" t="s">
        <v>142</v>
      </c>
      <c r="B63" s="53" t="s">
        <v>12</v>
      </c>
      <c r="C63" s="53" t="s">
        <v>41</v>
      </c>
      <c r="D63" s="53" t="s">
        <v>17</v>
      </c>
      <c r="E63" s="54">
        <v>64763.364705882355</v>
      </c>
      <c r="F63" s="130" t="s">
        <v>12</v>
      </c>
      <c r="G63" s="55" t="str">
        <f>TEXT(Table117[[#This Row],[Date of Joining]],"mmmm")</f>
        <v>Unknown</v>
      </c>
      <c r="H63" s="56">
        <v>5</v>
      </c>
      <c r="I63" s="57" t="s">
        <v>12</v>
      </c>
      <c r="J63" s="58" t="s">
        <v>143</v>
      </c>
    </row>
    <row r="64" spans="1:10">
      <c r="A64" s="52" t="s">
        <v>144</v>
      </c>
      <c r="B64" s="67" t="s">
        <v>15</v>
      </c>
      <c r="C64" s="53" t="s">
        <v>12</v>
      </c>
      <c r="D64" s="53" t="s">
        <v>63</v>
      </c>
      <c r="E64" s="54">
        <v>31499</v>
      </c>
      <c r="F64" s="130">
        <v>42435</v>
      </c>
      <c r="G64" s="55" t="str">
        <f>TEXT(Table117[[#This Row],[Date of Joining]],"mmmm")</f>
        <v>March</v>
      </c>
      <c r="H64" s="56">
        <v>2</v>
      </c>
      <c r="I64" s="57" t="s">
        <v>12</v>
      </c>
      <c r="J64" s="58" t="s">
        <v>101</v>
      </c>
    </row>
    <row r="65" spans="1:10">
      <c r="A65" s="52" t="s">
        <v>145</v>
      </c>
      <c r="B65" s="53" t="s">
        <v>40</v>
      </c>
      <c r="C65" s="53" t="s">
        <v>33</v>
      </c>
      <c r="D65" s="53" t="s">
        <v>46</v>
      </c>
      <c r="E65" s="54">
        <v>97981</v>
      </c>
      <c r="F65" s="130">
        <v>42442</v>
      </c>
      <c r="G65" s="55" t="str">
        <f>TEXT(Table117[[#This Row],[Date of Joining]],"mmmm")</f>
        <v>March</v>
      </c>
      <c r="H65" s="56">
        <v>5</v>
      </c>
      <c r="I65" s="57" t="s">
        <v>35</v>
      </c>
      <c r="J65" s="58" t="s">
        <v>146</v>
      </c>
    </row>
    <row r="66" spans="1:10">
      <c r="A66" s="52" t="s">
        <v>147</v>
      </c>
      <c r="B66" s="53" t="s">
        <v>15</v>
      </c>
      <c r="C66" s="53" t="s">
        <v>16</v>
      </c>
      <c r="D66" s="53" t="s">
        <v>26</v>
      </c>
      <c r="E66" s="54">
        <v>36541</v>
      </c>
      <c r="F66" s="130">
        <v>42449</v>
      </c>
      <c r="G66" s="55" t="str">
        <f>TEXT(Table117[[#This Row],[Date of Joining]],"mmmm")</f>
        <v>March</v>
      </c>
      <c r="H66" s="56">
        <v>2</v>
      </c>
      <c r="I66" s="57" t="s">
        <v>18</v>
      </c>
      <c r="J66" s="58" t="s">
        <v>148</v>
      </c>
    </row>
    <row r="67" spans="1:10">
      <c r="A67" s="52" t="s">
        <v>149</v>
      </c>
      <c r="B67" s="53" t="s">
        <v>24</v>
      </c>
      <c r="C67" s="53" t="s">
        <v>33</v>
      </c>
      <c r="D67" s="53" t="s">
        <v>34</v>
      </c>
      <c r="E67" s="54">
        <v>84737</v>
      </c>
      <c r="F67" s="130">
        <v>42456</v>
      </c>
      <c r="G67" s="55" t="str">
        <f>TEXT(Table117[[#This Row],[Date of Joining]],"mmmm")</f>
        <v>March</v>
      </c>
      <c r="H67" s="56">
        <v>1</v>
      </c>
      <c r="I67" s="57" t="s">
        <v>27</v>
      </c>
      <c r="J67" s="58" t="s">
        <v>150</v>
      </c>
    </row>
    <row r="68" spans="1:10">
      <c r="A68" s="52" t="s">
        <v>151</v>
      </c>
      <c r="B68" s="53" t="s">
        <v>38</v>
      </c>
      <c r="C68" s="53" t="s">
        <v>10</v>
      </c>
      <c r="D68" s="53" t="s">
        <v>34</v>
      </c>
      <c r="E68" s="54">
        <v>33468</v>
      </c>
      <c r="F68" s="130">
        <v>42463</v>
      </c>
      <c r="G68" s="55" t="str">
        <f>TEXT(Table117[[#This Row],[Date of Joining]],"mmmm")</f>
        <v>April</v>
      </c>
      <c r="H68" s="56">
        <v>4</v>
      </c>
      <c r="I68" s="57" t="s">
        <v>27</v>
      </c>
      <c r="J68" s="58" t="s">
        <v>152</v>
      </c>
    </row>
    <row r="69" spans="1:10">
      <c r="A69" s="52" t="s">
        <v>153</v>
      </c>
      <c r="B69" s="67" t="s">
        <v>38</v>
      </c>
      <c r="C69" s="53" t="s">
        <v>12</v>
      </c>
      <c r="D69" s="53" t="s">
        <v>63</v>
      </c>
      <c r="E69" s="54">
        <v>96365</v>
      </c>
      <c r="F69" s="130">
        <v>42470</v>
      </c>
      <c r="G69" s="55" t="str">
        <f>TEXT(Table117[[#This Row],[Date of Joining]],"mmmm")</f>
        <v>April</v>
      </c>
      <c r="H69" s="56">
        <v>3</v>
      </c>
      <c r="I69" s="57" t="s">
        <v>18</v>
      </c>
      <c r="J69" s="58" t="s">
        <v>154</v>
      </c>
    </row>
    <row r="70" spans="1:10">
      <c r="A70" s="52" t="s">
        <v>155</v>
      </c>
      <c r="B70" s="53" t="s">
        <v>21</v>
      </c>
      <c r="C70" s="53" t="s">
        <v>25</v>
      </c>
      <c r="D70" s="53" t="s">
        <v>34</v>
      </c>
      <c r="E70" s="54">
        <v>61942</v>
      </c>
      <c r="F70" s="130">
        <v>42477</v>
      </c>
      <c r="G70" s="55" t="str">
        <f>TEXT(Table117[[#This Row],[Date of Joining]],"mmmm")</f>
        <v>April</v>
      </c>
      <c r="H70" s="56">
        <v>3</v>
      </c>
      <c r="I70" s="57" t="s">
        <v>35</v>
      </c>
      <c r="J70" s="58" t="s">
        <v>156</v>
      </c>
    </row>
    <row r="71" spans="1:10">
      <c r="A71" s="52" t="s">
        <v>157</v>
      </c>
      <c r="B71" s="53" t="s">
        <v>38</v>
      </c>
      <c r="C71" s="53" t="s">
        <v>10</v>
      </c>
      <c r="D71" s="53" t="s">
        <v>46</v>
      </c>
      <c r="E71" s="54">
        <v>41467</v>
      </c>
      <c r="F71" s="130">
        <v>42484</v>
      </c>
      <c r="G71" s="55" t="str">
        <f>TEXT(Table117[[#This Row],[Date of Joining]],"mmmm")</f>
        <v>April</v>
      </c>
      <c r="H71" s="56">
        <v>2</v>
      </c>
      <c r="I71" s="57" t="s">
        <v>12</v>
      </c>
      <c r="J71" s="58" t="s">
        <v>72</v>
      </c>
    </row>
    <row r="72" spans="1:10">
      <c r="A72" s="52" t="s">
        <v>158</v>
      </c>
      <c r="B72" s="53" t="s">
        <v>53</v>
      </c>
      <c r="C72" s="53" t="s">
        <v>10</v>
      </c>
      <c r="D72" s="53" t="s">
        <v>34</v>
      </c>
      <c r="E72" s="54">
        <v>77096</v>
      </c>
      <c r="F72" s="130">
        <v>42491</v>
      </c>
      <c r="G72" s="55" t="str">
        <f>TEXT(Table117[[#This Row],[Date of Joining]],"mmmm")</f>
        <v>May</v>
      </c>
      <c r="H72" s="56">
        <v>1</v>
      </c>
      <c r="I72" s="57" t="s">
        <v>12</v>
      </c>
      <c r="J72" s="58" t="s">
        <v>159</v>
      </c>
    </row>
    <row r="73" spans="1:10">
      <c r="A73" s="52" t="s">
        <v>160</v>
      </c>
      <c r="B73" s="53" t="s">
        <v>15</v>
      </c>
      <c r="C73" s="53" t="s">
        <v>25</v>
      </c>
      <c r="D73" s="53" t="s">
        <v>63</v>
      </c>
      <c r="E73" s="54">
        <v>69952</v>
      </c>
      <c r="F73" s="130">
        <v>42498</v>
      </c>
      <c r="G73" s="55" t="str">
        <f>TEXT(Table117[[#This Row],[Date of Joining]],"mmmm")</f>
        <v>May</v>
      </c>
      <c r="H73" s="56">
        <v>5</v>
      </c>
      <c r="I73" s="57" t="s">
        <v>35</v>
      </c>
      <c r="J73" s="58" t="s">
        <v>12</v>
      </c>
    </row>
    <row r="74" spans="1:10">
      <c r="A74" s="52" t="s">
        <v>161</v>
      </c>
      <c r="B74" s="53" t="s">
        <v>15</v>
      </c>
      <c r="C74" s="53" t="s">
        <v>41</v>
      </c>
      <c r="D74" s="53" t="s">
        <v>26</v>
      </c>
      <c r="E74" s="54">
        <v>85065</v>
      </c>
      <c r="F74" s="130">
        <v>42505</v>
      </c>
      <c r="G74" s="55" t="str">
        <f>TEXT(Table117[[#This Row],[Date of Joining]],"mmmm")</f>
        <v>May</v>
      </c>
      <c r="H74" s="56">
        <v>3</v>
      </c>
      <c r="I74" s="57" t="s">
        <v>12</v>
      </c>
      <c r="J74" s="58" t="s">
        <v>162</v>
      </c>
    </row>
    <row r="75" spans="1:10">
      <c r="A75" s="52" t="s">
        <v>163</v>
      </c>
      <c r="B75" s="53" t="s">
        <v>53</v>
      </c>
      <c r="C75" s="53" t="s">
        <v>41</v>
      </c>
      <c r="D75" s="53" t="s">
        <v>34</v>
      </c>
      <c r="E75" s="54">
        <v>56512</v>
      </c>
      <c r="F75" s="130">
        <v>42512</v>
      </c>
      <c r="G75" s="55" t="str">
        <f>TEXT(Table117[[#This Row],[Date of Joining]],"mmmm")</f>
        <v>May</v>
      </c>
      <c r="H75" s="56">
        <v>2.8571428571428572</v>
      </c>
      <c r="I75" s="57" t="s">
        <v>18</v>
      </c>
      <c r="J75" s="58" t="s">
        <v>47</v>
      </c>
    </row>
    <row r="76" spans="1:10">
      <c r="A76" s="52" t="s">
        <v>164</v>
      </c>
      <c r="B76" s="53" t="s">
        <v>24</v>
      </c>
      <c r="C76" s="53" t="s">
        <v>25</v>
      </c>
      <c r="D76" s="53" t="s">
        <v>34</v>
      </c>
      <c r="E76" s="54">
        <v>91101</v>
      </c>
      <c r="F76" s="130">
        <v>42519</v>
      </c>
      <c r="G76" s="55" t="str">
        <f>TEXT(Table117[[#This Row],[Date of Joining]],"mmmm")</f>
        <v>May</v>
      </c>
      <c r="H76" s="56">
        <v>4</v>
      </c>
      <c r="I76" s="57" t="s">
        <v>35</v>
      </c>
      <c r="J76" s="58" t="s">
        <v>146</v>
      </c>
    </row>
    <row r="77" spans="1:10">
      <c r="A77" s="52" t="s">
        <v>165</v>
      </c>
      <c r="B77" s="67" t="s">
        <v>38</v>
      </c>
      <c r="C77" s="53" t="s">
        <v>12</v>
      </c>
      <c r="D77" s="53" t="s">
        <v>17</v>
      </c>
      <c r="E77" s="54">
        <v>41243</v>
      </c>
      <c r="F77" s="130">
        <v>42526</v>
      </c>
      <c r="G77" s="55" t="str">
        <f>TEXT(Table117[[#This Row],[Date of Joining]],"mmmm")</f>
        <v>June</v>
      </c>
      <c r="H77" s="56">
        <v>2.838709677419355</v>
      </c>
      <c r="I77" s="57" t="s">
        <v>12</v>
      </c>
      <c r="J77" s="58" t="s">
        <v>92</v>
      </c>
    </row>
    <row r="78" spans="1:10">
      <c r="A78" s="52" t="s">
        <v>166</v>
      </c>
      <c r="B78" s="53" t="s">
        <v>12</v>
      </c>
      <c r="C78" s="53" t="s">
        <v>25</v>
      </c>
      <c r="D78" s="53" t="s">
        <v>12</v>
      </c>
      <c r="E78" s="54">
        <v>96142</v>
      </c>
      <c r="F78" s="130">
        <v>42533</v>
      </c>
      <c r="G78" s="55" t="str">
        <f>TEXT(Table117[[#This Row],[Date of Joining]],"mmmm")</f>
        <v>June</v>
      </c>
      <c r="H78" s="56">
        <v>1</v>
      </c>
      <c r="I78" s="57" t="s">
        <v>18</v>
      </c>
      <c r="J78" s="58" t="s">
        <v>167</v>
      </c>
    </row>
    <row r="79" spans="1:10">
      <c r="A79" s="52" t="s">
        <v>168</v>
      </c>
      <c r="B79" s="53" t="s">
        <v>15</v>
      </c>
      <c r="C79" s="53" t="s">
        <v>33</v>
      </c>
      <c r="D79" s="53" t="s">
        <v>34</v>
      </c>
      <c r="E79" s="54">
        <v>94301</v>
      </c>
      <c r="F79" s="130">
        <v>42540</v>
      </c>
      <c r="G79" s="55" t="str">
        <f>TEXT(Table117[[#This Row],[Date of Joining]],"mmmm")</f>
        <v>June</v>
      </c>
      <c r="H79" s="56">
        <v>1</v>
      </c>
      <c r="I79" s="57" t="s">
        <v>27</v>
      </c>
      <c r="J79" s="58" t="s">
        <v>117</v>
      </c>
    </row>
    <row r="80" spans="1:10">
      <c r="A80" s="52" t="s">
        <v>169</v>
      </c>
      <c r="B80" s="67" t="s">
        <v>30</v>
      </c>
      <c r="C80" s="53" t="s">
        <v>12</v>
      </c>
      <c r="D80" s="53" t="s">
        <v>46</v>
      </c>
      <c r="E80" s="54">
        <v>69166</v>
      </c>
      <c r="F80" s="130">
        <v>42547</v>
      </c>
      <c r="G80" s="55" t="str">
        <f>TEXT(Table117[[#This Row],[Date of Joining]],"mmmm")</f>
        <v>June</v>
      </c>
      <c r="H80" s="56">
        <v>1</v>
      </c>
      <c r="I80" s="57" t="s">
        <v>35</v>
      </c>
      <c r="J80" s="58" t="s">
        <v>170</v>
      </c>
    </row>
    <row r="81" spans="1:10">
      <c r="A81" s="52" t="s">
        <v>171</v>
      </c>
      <c r="B81" s="67" t="s">
        <v>38</v>
      </c>
      <c r="C81" s="53" t="s">
        <v>12</v>
      </c>
      <c r="D81" s="53" t="s">
        <v>46</v>
      </c>
      <c r="E81" s="54">
        <v>78245</v>
      </c>
      <c r="F81" s="130">
        <v>42554</v>
      </c>
      <c r="G81" s="55" t="str">
        <f>TEXT(Table117[[#This Row],[Date of Joining]],"mmmm")</f>
        <v>July</v>
      </c>
      <c r="H81" s="56">
        <v>2</v>
      </c>
      <c r="I81" s="57" t="s">
        <v>12</v>
      </c>
      <c r="J81" s="58" t="s">
        <v>172</v>
      </c>
    </row>
    <row r="82" spans="1:10">
      <c r="A82" s="52" t="s">
        <v>173</v>
      </c>
      <c r="B82" s="53" t="s">
        <v>40</v>
      </c>
      <c r="C82" s="53" t="s">
        <v>25</v>
      </c>
      <c r="D82" s="53" t="s">
        <v>26</v>
      </c>
      <c r="E82" s="54">
        <v>66079</v>
      </c>
      <c r="F82" s="130">
        <v>42561</v>
      </c>
      <c r="G82" s="55" t="str">
        <f>TEXT(Table117[[#This Row],[Date of Joining]],"mmmm")</f>
        <v>July</v>
      </c>
      <c r="H82" s="56">
        <v>2</v>
      </c>
      <c r="I82" s="57" t="s">
        <v>18</v>
      </c>
      <c r="J82" s="58" t="s">
        <v>174</v>
      </c>
    </row>
    <row r="83" spans="1:10">
      <c r="A83" s="52" t="s">
        <v>175</v>
      </c>
      <c r="B83" s="53" t="s">
        <v>15</v>
      </c>
      <c r="C83" s="53" t="s">
        <v>41</v>
      </c>
      <c r="D83" s="53" t="s">
        <v>34</v>
      </c>
      <c r="E83" s="54">
        <v>63575.515151515152</v>
      </c>
      <c r="F83" s="130" t="s">
        <v>12</v>
      </c>
      <c r="G83" s="55" t="str">
        <f>TEXT(Table117[[#This Row],[Date of Joining]],"mmmm")</f>
        <v>Unknown</v>
      </c>
      <c r="H83" s="56">
        <v>2.9649122807017543</v>
      </c>
      <c r="I83" s="57" t="s">
        <v>12</v>
      </c>
      <c r="J83" s="58" t="s">
        <v>86</v>
      </c>
    </row>
    <row r="84" spans="1:10">
      <c r="A84" s="52" t="s">
        <v>176</v>
      </c>
      <c r="B84" s="53" t="s">
        <v>30</v>
      </c>
      <c r="C84" s="53" t="s">
        <v>25</v>
      </c>
      <c r="D84" s="53" t="s">
        <v>26</v>
      </c>
      <c r="E84" s="54">
        <v>95621</v>
      </c>
      <c r="F84" s="130">
        <v>42575</v>
      </c>
      <c r="G84" s="55" t="str">
        <f>TEXT(Table117[[#This Row],[Date of Joining]],"mmmm")</f>
        <v>July</v>
      </c>
      <c r="H84" s="56">
        <v>3</v>
      </c>
      <c r="I84" s="57" t="s">
        <v>35</v>
      </c>
      <c r="J84" s="58" t="s">
        <v>177</v>
      </c>
    </row>
    <row r="85" spans="1:10">
      <c r="A85" s="52" t="s">
        <v>178</v>
      </c>
      <c r="B85" s="53" t="s">
        <v>15</v>
      </c>
      <c r="C85" s="53" t="s">
        <v>33</v>
      </c>
      <c r="D85" s="53" t="s">
        <v>46</v>
      </c>
      <c r="E85" s="54">
        <v>42262</v>
      </c>
      <c r="F85" s="130">
        <v>42582</v>
      </c>
      <c r="G85" s="55" t="str">
        <f>TEXT(Table117[[#This Row],[Date of Joining]],"mmmm")</f>
        <v>July</v>
      </c>
      <c r="H85" s="56">
        <v>1</v>
      </c>
      <c r="I85" s="57" t="s">
        <v>12</v>
      </c>
      <c r="J85" s="58" t="s">
        <v>179</v>
      </c>
    </row>
    <row r="86" spans="1:10">
      <c r="A86" s="52" t="s">
        <v>180</v>
      </c>
      <c r="B86" s="53" t="s">
        <v>38</v>
      </c>
      <c r="C86" s="53" t="s">
        <v>25</v>
      </c>
      <c r="D86" s="53" t="s">
        <v>34</v>
      </c>
      <c r="E86" s="54">
        <v>99621</v>
      </c>
      <c r="F86" s="130">
        <v>42589</v>
      </c>
      <c r="G86" s="55" t="str">
        <f>TEXT(Table117[[#This Row],[Date of Joining]],"mmmm")</f>
        <v>August</v>
      </c>
      <c r="H86" s="56">
        <v>3</v>
      </c>
      <c r="I86" s="57" t="s">
        <v>18</v>
      </c>
      <c r="J86" s="58" t="s">
        <v>181</v>
      </c>
    </row>
    <row r="87" spans="1:10">
      <c r="A87" s="52" t="s">
        <v>182</v>
      </c>
      <c r="B87" s="53" t="s">
        <v>24</v>
      </c>
      <c r="C87" s="53" t="s">
        <v>41</v>
      </c>
      <c r="D87" s="53" t="s">
        <v>34</v>
      </c>
      <c r="E87" s="54">
        <v>44682</v>
      </c>
      <c r="F87" s="130">
        <v>42596</v>
      </c>
      <c r="G87" s="55" t="str">
        <f>TEXT(Table117[[#This Row],[Date of Joining]],"mmmm")</f>
        <v>August</v>
      </c>
      <c r="H87" s="56">
        <v>4</v>
      </c>
      <c r="I87" s="57" t="s">
        <v>35</v>
      </c>
      <c r="J87" s="58" t="s">
        <v>111</v>
      </c>
    </row>
    <row r="88" spans="1:10">
      <c r="A88" s="52" t="s">
        <v>183</v>
      </c>
      <c r="B88" s="53" t="s">
        <v>40</v>
      </c>
      <c r="C88" s="53" t="s">
        <v>10</v>
      </c>
      <c r="D88" s="53" t="s">
        <v>12</v>
      </c>
      <c r="E88" s="54">
        <v>35163</v>
      </c>
      <c r="F88" s="130">
        <v>42603</v>
      </c>
      <c r="G88" s="55" t="str">
        <f>TEXT(Table117[[#This Row],[Date of Joining]],"mmmm")</f>
        <v>August</v>
      </c>
      <c r="H88" s="56">
        <v>5</v>
      </c>
      <c r="I88" s="57" t="s">
        <v>18</v>
      </c>
      <c r="J88" s="58" t="s">
        <v>184</v>
      </c>
    </row>
    <row r="89" spans="1:10">
      <c r="A89" s="52" t="s">
        <v>185</v>
      </c>
      <c r="B89" s="53" t="s">
        <v>40</v>
      </c>
      <c r="C89" s="53" t="s">
        <v>33</v>
      </c>
      <c r="D89" s="53" t="s">
        <v>34</v>
      </c>
      <c r="E89" s="54">
        <v>33483</v>
      </c>
      <c r="F89" s="130">
        <v>42610</v>
      </c>
      <c r="G89" s="55" t="str">
        <f>TEXT(Table117[[#This Row],[Date of Joining]],"mmmm")</f>
        <v>August</v>
      </c>
      <c r="H89" s="56">
        <v>4</v>
      </c>
      <c r="I89" s="57" t="s">
        <v>27</v>
      </c>
      <c r="J89" s="58" t="s">
        <v>186</v>
      </c>
    </row>
    <row r="90" spans="1:10">
      <c r="A90" s="52" t="s">
        <v>187</v>
      </c>
      <c r="B90" s="53" t="s">
        <v>38</v>
      </c>
      <c r="C90" s="53" t="s">
        <v>16</v>
      </c>
      <c r="D90" s="53" t="s">
        <v>17</v>
      </c>
      <c r="E90" s="54">
        <v>55303</v>
      </c>
      <c r="F90" s="130">
        <v>42617</v>
      </c>
      <c r="G90" s="55" t="str">
        <f>TEXT(Table117[[#This Row],[Date of Joining]],"mmmm")</f>
        <v>September</v>
      </c>
      <c r="H90" s="56">
        <v>4</v>
      </c>
      <c r="I90" s="57" t="s">
        <v>27</v>
      </c>
      <c r="J90" s="58" t="s">
        <v>76</v>
      </c>
    </row>
    <row r="91" spans="1:10">
      <c r="A91" s="52" t="s">
        <v>188</v>
      </c>
      <c r="B91" s="53" t="s">
        <v>40</v>
      </c>
      <c r="C91" s="53" t="s">
        <v>33</v>
      </c>
      <c r="D91" s="53" t="s">
        <v>12</v>
      </c>
      <c r="E91" s="54">
        <v>63434</v>
      </c>
      <c r="F91" s="130">
        <v>42624</v>
      </c>
      <c r="G91" s="55" t="str">
        <f>TEXT(Table117[[#This Row],[Date of Joining]],"mmmm")</f>
        <v>September</v>
      </c>
      <c r="H91" s="56">
        <v>3</v>
      </c>
      <c r="I91" s="57" t="s">
        <v>12</v>
      </c>
      <c r="J91" s="58" t="s">
        <v>189</v>
      </c>
    </row>
    <row r="92" spans="1:10">
      <c r="A92" s="52" t="s">
        <v>190</v>
      </c>
      <c r="B92" s="67" t="s">
        <v>30</v>
      </c>
      <c r="C92" s="53" t="s">
        <v>12</v>
      </c>
      <c r="D92" s="53" t="s">
        <v>63</v>
      </c>
      <c r="E92" s="54">
        <v>38830</v>
      </c>
      <c r="F92" s="130">
        <v>42631</v>
      </c>
      <c r="G92" s="55" t="str">
        <f>TEXT(Table117[[#This Row],[Date of Joining]],"mmmm")</f>
        <v>September</v>
      </c>
      <c r="H92" s="56">
        <v>3</v>
      </c>
      <c r="I92" s="57" t="s">
        <v>18</v>
      </c>
      <c r="J92" s="58" t="s">
        <v>76</v>
      </c>
    </row>
    <row r="93" spans="1:10">
      <c r="A93" s="52" t="s">
        <v>191</v>
      </c>
      <c r="B93" s="53" t="s">
        <v>12</v>
      </c>
      <c r="C93" s="53" t="s">
        <v>41</v>
      </c>
      <c r="D93" s="53" t="s">
        <v>46</v>
      </c>
      <c r="E93" s="54">
        <v>50741</v>
      </c>
      <c r="F93" s="130">
        <v>42638</v>
      </c>
      <c r="G93" s="55" t="str">
        <f>TEXT(Table117[[#This Row],[Date of Joining]],"mmmm")</f>
        <v>September</v>
      </c>
      <c r="H93" s="56">
        <v>3</v>
      </c>
      <c r="I93" s="57" t="s">
        <v>12</v>
      </c>
      <c r="J93" s="58" t="s">
        <v>159</v>
      </c>
    </row>
    <row r="94" spans="1:10">
      <c r="A94" s="52" t="s">
        <v>192</v>
      </c>
      <c r="B94" s="53" t="s">
        <v>21</v>
      </c>
      <c r="C94" s="53" t="s">
        <v>16</v>
      </c>
      <c r="D94" s="53" t="s">
        <v>63</v>
      </c>
      <c r="E94" s="54">
        <v>69420</v>
      </c>
      <c r="F94" s="130">
        <v>42645</v>
      </c>
      <c r="G94" s="55" t="str">
        <f>TEXT(Table117[[#This Row],[Date of Joining]],"mmmm")</f>
        <v>October</v>
      </c>
      <c r="H94" s="56">
        <v>1</v>
      </c>
      <c r="I94" s="57" t="s">
        <v>27</v>
      </c>
      <c r="J94" s="58" t="s">
        <v>122</v>
      </c>
    </row>
    <row r="95" spans="1:10">
      <c r="A95" s="52" t="s">
        <v>193</v>
      </c>
      <c r="B95" s="53" t="s">
        <v>30</v>
      </c>
      <c r="C95" s="53" t="s">
        <v>33</v>
      </c>
      <c r="D95" s="53" t="s">
        <v>12</v>
      </c>
      <c r="E95" s="54">
        <v>80588</v>
      </c>
      <c r="F95" s="130">
        <v>42652</v>
      </c>
      <c r="G95" s="55" t="str">
        <f>TEXT(Table117[[#This Row],[Date of Joining]],"mmmm")</f>
        <v>October</v>
      </c>
      <c r="H95" s="56">
        <v>5</v>
      </c>
      <c r="I95" s="57" t="s">
        <v>27</v>
      </c>
      <c r="J95" s="58" t="s">
        <v>103</v>
      </c>
    </row>
    <row r="96" spans="1:10">
      <c r="A96" s="52" t="s">
        <v>194</v>
      </c>
      <c r="B96" s="67" t="s">
        <v>21</v>
      </c>
      <c r="C96" s="53" t="s">
        <v>12</v>
      </c>
      <c r="D96" s="53" t="s">
        <v>26</v>
      </c>
      <c r="E96" s="54">
        <v>76238</v>
      </c>
      <c r="F96" s="130">
        <v>42659</v>
      </c>
      <c r="G96" s="55" t="str">
        <f>TEXT(Table117[[#This Row],[Date of Joining]],"mmmm")</f>
        <v>October</v>
      </c>
      <c r="H96" s="56">
        <v>4</v>
      </c>
      <c r="I96" s="57" t="s">
        <v>27</v>
      </c>
      <c r="J96" s="58" t="s">
        <v>195</v>
      </c>
    </row>
    <row r="97" spans="1:10">
      <c r="A97" s="52" t="s">
        <v>196</v>
      </c>
      <c r="B97" s="53" t="s">
        <v>53</v>
      </c>
      <c r="C97" s="53" t="s">
        <v>33</v>
      </c>
      <c r="D97" s="53" t="s">
        <v>34</v>
      </c>
      <c r="E97" s="54">
        <v>33264</v>
      </c>
      <c r="F97" s="130">
        <v>42666</v>
      </c>
      <c r="G97" s="55" t="str">
        <f>TEXT(Table117[[#This Row],[Date of Joining]],"mmmm")</f>
        <v>October</v>
      </c>
      <c r="H97" s="56">
        <v>2.8666666666666667</v>
      </c>
      <c r="I97" s="57" t="s">
        <v>35</v>
      </c>
      <c r="J97" s="58" t="s">
        <v>197</v>
      </c>
    </row>
    <row r="98" spans="1:10">
      <c r="A98" s="52" t="s">
        <v>198</v>
      </c>
      <c r="B98" s="53" t="s">
        <v>21</v>
      </c>
      <c r="C98" s="53" t="s">
        <v>10</v>
      </c>
      <c r="D98" s="53" t="s">
        <v>63</v>
      </c>
      <c r="E98" s="54">
        <v>96101</v>
      </c>
      <c r="F98" s="130">
        <v>42673</v>
      </c>
      <c r="G98" s="55" t="str">
        <f>TEXT(Table117[[#This Row],[Date of Joining]],"mmmm")</f>
        <v>October</v>
      </c>
      <c r="H98" s="56">
        <v>2.8666666666666667</v>
      </c>
      <c r="I98" s="57" t="s">
        <v>18</v>
      </c>
      <c r="J98" s="58" t="s">
        <v>199</v>
      </c>
    </row>
    <row r="99" spans="1:10">
      <c r="A99" s="52" t="s">
        <v>200</v>
      </c>
      <c r="B99" s="53" t="s">
        <v>30</v>
      </c>
      <c r="C99" s="53" t="s">
        <v>10</v>
      </c>
      <c r="D99" s="53" t="s">
        <v>26</v>
      </c>
      <c r="E99" s="54">
        <v>72939</v>
      </c>
      <c r="F99" s="130">
        <v>42680</v>
      </c>
      <c r="G99" s="55" t="str">
        <f>TEXT(Table117[[#This Row],[Date of Joining]],"mmmm")</f>
        <v>November</v>
      </c>
      <c r="H99" s="56">
        <v>3</v>
      </c>
      <c r="I99" s="57" t="s">
        <v>12</v>
      </c>
      <c r="J99" s="58" t="s">
        <v>201</v>
      </c>
    </row>
    <row r="100" spans="1:10">
      <c r="A100" s="52" t="s">
        <v>202</v>
      </c>
      <c r="B100" s="53" t="s">
        <v>38</v>
      </c>
      <c r="C100" s="53" t="s">
        <v>16</v>
      </c>
      <c r="D100" s="53" t="s">
        <v>17</v>
      </c>
      <c r="E100" s="54">
        <v>89333</v>
      </c>
      <c r="F100" s="130">
        <v>42687</v>
      </c>
      <c r="G100" s="55" t="str">
        <f>TEXT(Table117[[#This Row],[Date of Joining]],"mmmm")</f>
        <v>November</v>
      </c>
      <c r="H100" s="56">
        <v>1</v>
      </c>
      <c r="I100" s="57" t="s">
        <v>27</v>
      </c>
      <c r="J100" s="58" t="s">
        <v>203</v>
      </c>
    </row>
    <row r="101" spans="1:10">
      <c r="A101" s="52" t="s">
        <v>204</v>
      </c>
      <c r="B101" s="53" t="s">
        <v>53</v>
      </c>
      <c r="C101" s="53" t="s">
        <v>33</v>
      </c>
      <c r="D101" s="53" t="s">
        <v>63</v>
      </c>
      <c r="E101" s="54">
        <v>70470</v>
      </c>
      <c r="F101" s="130">
        <v>42694</v>
      </c>
      <c r="G101" s="55" t="str">
        <f>TEXT(Table117[[#This Row],[Date of Joining]],"mmmm")</f>
        <v>November</v>
      </c>
      <c r="H101" s="56">
        <v>2.9069767441860463</v>
      </c>
      <c r="I101" s="57" t="s">
        <v>27</v>
      </c>
      <c r="J101" s="58" t="s">
        <v>205</v>
      </c>
    </row>
    <row r="102" spans="1:10">
      <c r="A102" s="52" t="s">
        <v>206</v>
      </c>
      <c r="B102" s="53" t="s">
        <v>15</v>
      </c>
      <c r="C102" s="53" t="s">
        <v>41</v>
      </c>
      <c r="D102" s="53" t="s">
        <v>26</v>
      </c>
      <c r="E102" s="54">
        <v>70096</v>
      </c>
      <c r="F102" s="130">
        <v>42701</v>
      </c>
      <c r="G102" s="55" t="str">
        <f>TEXT(Table117[[#This Row],[Date of Joining]],"mmmm")</f>
        <v>November</v>
      </c>
      <c r="H102" s="56">
        <v>4</v>
      </c>
      <c r="I102" s="57" t="s">
        <v>27</v>
      </c>
      <c r="J102" s="58" t="s">
        <v>207</v>
      </c>
    </row>
    <row r="103" spans="1:10">
      <c r="A103" s="52" t="s">
        <v>208</v>
      </c>
      <c r="B103" s="53" t="s">
        <v>53</v>
      </c>
      <c r="C103" s="53" t="s">
        <v>41</v>
      </c>
      <c r="D103" s="53" t="s">
        <v>12</v>
      </c>
      <c r="E103" s="54">
        <v>63370.106382978724</v>
      </c>
      <c r="F103" s="130">
        <v>42708</v>
      </c>
      <c r="G103" s="55" t="str">
        <f>TEXT(Table117[[#This Row],[Date of Joining]],"mmmm")</f>
        <v>December</v>
      </c>
      <c r="H103" s="56">
        <v>2</v>
      </c>
      <c r="I103" s="57" t="s">
        <v>18</v>
      </c>
      <c r="J103" s="58" t="s">
        <v>209</v>
      </c>
    </row>
    <row r="104" spans="1:10">
      <c r="A104" s="52" t="s">
        <v>210</v>
      </c>
      <c r="B104" s="53" t="s">
        <v>53</v>
      </c>
      <c r="C104" s="53" t="s">
        <v>33</v>
      </c>
      <c r="D104" s="53" t="s">
        <v>17</v>
      </c>
      <c r="E104" s="54">
        <v>66503</v>
      </c>
      <c r="F104" s="130">
        <v>42715</v>
      </c>
      <c r="G104" s="55" t="str">
        <f>TEXT(Table117[[#This Row],[Date of Joining]],"mmmm")</f>
        <v>December</v>
      </c>
      <c r="H104" s="56">
        <v>2.9024390243902438</v>
      </c>
      <c r="I104" s="57" t="s">
        <v>27</v>
      </c>
      <c r="J104" s="58" t="s">
        <v>70</v>
      </c>
    </row>
    <row r="105" spans="1:10">
      <c r="A105" s="52" t="s">
        <v>211</v>
      </c>
      <c r="B105" s="53" t="s">
        <v>21</v>
      </c>
      <c r="C105" s="53" t="s">
        <v>16</v>
      </c>
      <c r="D105" s="53" t="s">
        <v>17</v>
      </c>
      <c r="E105" s="54">
        <v>42096</v>
      </c>
      <c r="F105" s="130">
        <v>42722</v>
      </c>
      <c r="G105" s="55" t="str">
        <f>TEXT(Table117[[#This Row],[Date of Joining]],"mmmm")</f>
        <v>December</v>
      </c>
      <c r="H105" s="56">
        <v>2.9024390243902438</v>
      </c>
      <c r="I105" s="57" t="s">
        <v>35</v>
      </c>
      <c r="J105" s="58" t="s">
        <v>212</v>
      </c>
    </row>
    <row r="106" spans="1:10">
      <c r="A106" s="52" t="s">
        <v>213</v>
      </c>
      <c r="B106" s="53" t="s">
        <v>21</v>
      </c>
      <c r="C106" s="67" t="s">
        <v>41</v>
      </c>
      <c r="D106" s="53" t="s">
        <v>12</v>
      </c>
      <c r="E106" s="54">
        <v>79145</v>
      </c>
      <c r="F106" s="130">
        <v>42729</v>
      </c>
      <c r="G106" s="55" t="str">
        <f>TEXT(Table117[[#This Row],[Date of Joining]],"mmmm")</f>
        <v>December</v>
      </c>
      <c r="H106" s="56">
        <v>5</v>
      </c>
      <c r="I106" s="57" t="s">
        <v>18</v>
      </c>
      <c r="J106" s="58" t="s">
        <v>117</v>
      </c>
    </row>
    <row r="107" spans="1:10">
      <c r="A107" s="52" t="s">
        <v>214</v>
      </c>
      <c r="B107" s="67" t="s">
        <v>30</v>
      </c>
      <c r="C107" s="53" t="s">
        <v>12</v>
      </c>
      <c r="D107" s="53" t="s">
        <v>63</v>
      </c>
      <c r="E107" s="54">
        <v>61556</v>
      </c>
      <c r="F107" s="130">
        <v>42736</v>
      </c>
      <c r="G107" s="55" t="str">
        <f>TEXT(Table117[[#This Row],[Date of Joining]],"mmmm")</f>
        <v>January</v>
      </c>
      <c r="H107" s="56">
        <v>1</v>
      </c>
      <c r="I107" s="57" t="s">
        <v>12</v>
      </c>
      <c r="J107" s="58" t="s">
        <v>209</v>
      </c>
    </row>
    <row r="108" spans="1:10">
      <c r="A108" s="52" t="s">
        <v>215</v>
      </c>
      <c r="B108" s="53" t="s">
        <v>12</v>
      </c>
      <c r="C108" s="53" t="s">
        <v>16</v>
      </c>
      <c r="D108" s="53" t="s">
        <v>46</v>
      </c>
      <c r="E108" s="54">
        <v>87963</v>
      </c>
      <c r="F108" s="130">
        <v>42743</v>
      </c>
      <c r="G108" s="55" t="str">
        <f>TEXT(Table117[[#This Row],[Date of Joining]],"mmmm")</f>
        <v>January</v>
      </c>
      <c r="H108" s="56">
        <v>3</v>
      </c>
      <c r="I108" s="57" t="s">
        <v>18</v>
      </c>
      <c r="J108" s="58" t="s">
        <v>12</v>
      </c>
    </row>
    <row r="109" spans="1:10">
      <c r="A109" s="52" t="s">
        <v>216</v>
      </c>
      <c r="B109" s="53" t="s">
        <v>15</v>
      </c>
      <c r="C109" s="53" t="s">
        <v>33</v>
      </c>
      <c r="D109" s="53" t="s">
        <v>12</v>
      </c>
      <c r="E109" s="54">
        <v>48325</v>
      </c>
      <c r="F109" s="130">
        <v>42750</v>
      </c>
      <c r="G109" s="55" t="str">
        <f>TEXT(Table117[[#This Row],[Date of Joining]],"mmmm")</f>
        <v>January</v>
      </c>
      <c r="H109" s="56">
        <v>2.8947368421052633</v>
      </c>
      <c r="I109" s="57" t="s">
        <v>27</v>
      </c>
      <c r="J109" s="58" t="s">
        <v>217</v>
      </c>
    </row>
    <row r="110" spans="1:10">
      <c r="A110" s="52" t="s">
        <v>218</v>
      </c>
      <c r="B110" s="53" t="s">
        <v>38</v>
      </c>
      <c r="C110" s="53" t="s">
        <v>41</v>
      </c>
      <c r="D110" s="53" t="s">
        <v>63</v>
      </c>
      <c r="E110" s="54">
        <v>86412</v>
      </c>
      <c r="F110" s="130">
        <v>42757</v>
      </c>
      <c r="G110" s="55" t="str">
        <f>TEXT(Table117[[#This Row],[Date of Joining]],"mmmm")</f>
        <v>January</v>
      </c>
      <c r="H110" s="56">
        <v>2</v>
      </c>
      <c r="I110" s="57" t="s">
        <v>35</v>
      </c>
      <c r="J110" s="58" t="s">
        <v>74</v>
      </c>
    </row>
    <row r="111" spans="1:10">
      <c r="A111" s="52" t="s">
        <v>219</v>
      </c>
      <c r="B111" s="53" t="s">
        <v>38</v>
      </c>
      <c r="C111" s="53" t="s">
        <v>16</v>
      </c>
      <c r="D111" s="53" t="s">
        <v>12</v>
      </c>
      <c r="E111" s="54">
        <v>66761</v>
      </c>
      <c r="F111" s="130">
        <v>42764</v>
      </c>
      <c r="G111" s="55" t="str">
        <f>TEXT(Table117[[#This Row],[Date of Joining]],"mmmm")</f>
        <v>January</v>
      </c>
      <c r="H111" s="56">
        <v>1</v>
      </c>
      <c r="I111" s="57" t="s">
        <v>12</v>
      </c>
      <c r="J111" s="58" t="s">
        <v>220</v>
      </c>
    </row>
    <row r="112" spans="1:10">
      <c r="A112" s="52" t="s">
        <v>221</v>
      </c>
      <c r="B112" s="67" t="s">
        <v>30</v>
      </c>
      <c r="C112" s="53" t="s">
        <v>12</v>
      </c>
      <c r="D112" s="53" t="s">
        <v>34</v>
      </c>
      <c r="E112" s="54">
        <v>88850</v>
      </c>
      <c r="F112" s="130">
        <v>42771</v>
      </c>
      <c r="G112" s="55" t="str">
        <f>TEXT(Table117[[#This Row],[Date of Joining]],"mmmm")</f>
        <v>February</v>
      </c>
      <c r="H112" s="56">
        <v>1</v>
      </c>
      <c r="I112" s="57" t="s">
        <v>35</v>
      </c>
      <c r="J112" s="58" t="s">
        <v>222</v>
      </c>
    </row>
    <row r="113" spans="1:10">
      <c r="A113" s="52" t="s">
        <v>223</v>
      </c>
      <c r="B113" s="53" t="s">
        <v>40</v>
      </c>
      <c r="C113" s="53" t="s">
        <v>25</v>
      </c>
      <c r="D113" s="53" t="s">
        <v>34</v>
      </c>
      <c r="E113" s="54">
        <v>31293</v>
      </c>
      <c r="F113" s="130" t="s">
        <v>12</v>
      </c>
      <c r="G113" s="55" t="str">
        <f>TEXT(Table117[[#This Row],[Date of Joining]],"mmmm")</f>
        <v>Unknown</v>
      </c>
      <c r="H113" s="56">
        <v>2</v>
      </c>
      <c r="I113" s="57" t="s">
        <v>35</v>
      </c>
      <c r="J113" s="58" t="s">
        <v>224</v>
      </c>
    </row>
    <row r="114" spans="1:10">
      <c r="A114" s="52" t="s">
        <v>225</v>
      </c>
      <c r="B114" s="53" t="s">
        <v>40</v>
      </c>
      <c r="C114" s="53" t="s">
        <v>33</v>
      </c>
      <c r="D114" s="53" t="s">
        <v>26</v>
      </c>
      <c r="E114" s="54">
        <v>34306</v>
      </c>
      <c r="F114" s="130">
        <v>42785</v>
      </c>
      <c r="G114" s="55" t="str">
        <f>TEXT(Table117[[#This Row],[Date of Joining]],"mmmm")</f>
        <v>February</v>
      </c>
      <c r="H114" s="56">
        <v>5</v>
      </c>
      <c r="I114" s="57" t="s">
        <v>35</v>
      </c>
      <c r="J114" s="58" t="s">
        <v>156</v>
      </c>
    </row>
    <row r="115" spans="1:10">
      <c r="A115" s="52" t="s">
        <v>226</v>
      </c>
      <c r="B115" s="53" t="s">
        <v>15</v>
      </c>
      <c r="C115" s="53" t="s">
        <v>10</v>
      </c>
      <c r="D115" s="53" t="s">
        <v>34</v>
      </c>
      <c r="E115" s="54">
        <v>78330</v>
      </c>
      <c r="F115" s="130">
        <v>42792</v>
      </c>
      <c r="G115" s="55" t="str">
        <f>TEXT(Table117[[#This Row],[Date of Joining]],"mmmm")</f>
        <v>February</v>
      </c>
      <c r="H115" s="56">
        <v>3</v>
      </c>
      <c r="I115" s="57" t="s">
        <v>18</v>
      </c>
      <c r="J115" s="58" t="s">
        <v>207</v>
      </c>
    </row>
    <row r="116" spans="1:10">
      <c r="A116" s="52" t="s">
        <v>227</v>
      </c>
      <c r="B116" s="53" t="s">
        <v>21</v>
      </c>
      <c r="C116" s="53" t="s">
        <v>33</v>
      </c>
      <c r="D116" s="53" t="s">
        <v>26</v>
      </c>
      <c r="E116" s="54">
        <v>47653</v>
      </c>
      <c r="F116" s="130">
        <v>42799</v>
      </c>
      <c r="G116" s="55" t="str">
        <f>TEXT(Table117[[#This Row],[Date of Joining]],"mmmm")</f>
        <v>March</v>
      </c>
      <c r="H116" s="56">
        <v>1</v>
      </c>
      <c r="I116" s="57" t="s">
        <v>27</v>
      </c>
      <c r="J116" s="58" t="s">
        <v>228</v>
      </c>
    </row>
    <row r="117" spans="1:10">
      <c r="A117" s="52" t="s">
        <v>229</v>
      </c>
      <c r="B117" s="53" t="s">
        <v>15</v>
      </c>
      <c r="C117" s="53" t="s">
        <v>41</v>
      </c>
      <c r="D117" s="53" t="s">
        <v>46</v>
      </c>
      <c r="E117" s="54">
        <v>44627</v>
      </c>
      <c r="F117" s="130">
        <v>42806</v>
      </c>
      <c r="G117" s="55" t="str">
        <f>TEXT(Table117[[#This Row],[Date of Joining]],"mmmm")</f>
        <v>March</v>
      </c>
      <c r="H117" s="56">
        <v>4</v>
      </c>
      <c r="I117" s="57" t="s">
        <v>12</v>
      </c>
      <c r="J117" s="58" t="s">
        <v>148</v>
      </c>
    </row>
    <row r="118" spans="1:10">
      <c r="A118" s="52" t="s">
        <v>230</v>
      </c>
      <c r="B118" s="53" t="s">
        <v>53</v>
      </c>
      <c r="C118" s="53" t="s">
        <v>16</v>
      </c>
      <c r="D118" s="53" t="s">
        <v>17</v>
      </c>
      <c r="E118" s="54">
        <v>92343</v>
      </c>
      <c r="F118" s="130">
        <v>42813</v>
      </c>
      <c r="G118" s="55" t="str">
        <f>TEXT(Table117[[#This Row],[Date of Joining]],"mmmm")</f>
        <v>March</v>
      </c>
      <c r="H118" s="56">
        <v>4</v>
      </c>
      <c r="I118" s="57" t="s">
        <v>35</v>
      </c>
      <c r="J118" s="58" t="s">
        <v>76</v>
      </c>
    </row>
    <row r="119" spans="1:10">
      <c r="A119" s="52" t="s">
        <v>231</v>
      </c>
      <c r="B119" s="53" t="s">
        <v>53</v>
      </c>
      <c r="C119" s="53" t="s">
        <v>41</v>
      </c>
      <c r="D119" s="53" t="s">
        <v>63</v>
      </c>
      <c r="E119" s="54">
        <v>38837</v>
      </c>
      <c r="F119" s="130">
        <v>42820</v>
      </c>
      <c r="G119" s="55" t="str">
        <f>TEXT(Table117[[#This Row],[Date of Joining]],"mmmm")</f>
        <v>March</v>
      </c>
      <c r="H119" s="56">
        <v>5</v>
      </c>
      <c r="I119" s="57" t="s">
        <v>35</v>
      </c>
      <c r="J119" s="58" t="s">
        <v>156</v>
      </c>
    </row>
    <row r="120" spans="1:10">
      <c r="A120" s="52" t="s">
        <v>232</v>
      </c>
      <c r="B120" s="53" t="s">
        <v>53</v>
      </c>
      <c r="C120" s="67" t="s">
        <v>41</v>
      </c>
      <c r="D120" s="53" t="s">
        <v>12</v>
      </c>
      <c r="E120" s="54">
        <v>73483</v>
      </c>
      <c r="F120" s="130">
        <v>42827</v>
      </c>
      <c r="G120" s="55" t="str">
        <f>TEXT(Table117[[#This Row],[Date of Joining]],"mmmm")</f>
        <v>April</v>
      </c>
      <c r="H120" s="56">
        <v>1</v>
      </c>
      <c r="I120" s="57" t="s">
        <v>12</v>
      </c>
      <c r="J120" s="58" t="s">
        <v>233</v>
      </c>
    </row>
    <row r="121" spans="1:10">
      <c r="A121" s="52" t="s">
        <v>234</v>
      </c>
      <c r="B121" s="53" t="s">
        <v>40</v>
      </c>
      <c r="C121" s="53" t="s">
        <v>25</v>
      </c>
      <c r="D121" s="53" t="s">
        <v>34</v>
      </c>
      <c r="E121" s="54">
        <v>95032</v>
      </c>
      <c r="F121" s="130">
        <v>42834</v>
      </c>
      <c r="G121" s="55" t="str">
        <f>TEXT(Table117[[#This Row],[Date of Joining]],"mmmm")</f>
        <v>April</v>
      </c>
      <c r="H121" s="56">
        <v>3</v>
      </c>
      <c r="I121" s="57" t="s">
        <v>12</v>
      </c>
      <c r="J121" s="58" t="s">
        <v>235</v>
      </c>
    </row>
    <row r="122" spans="1:10">
      <c r="A122" s="52" t="s">
        <v>236</v>
      </c>
      <c r="B122" s="53" t="s">
        <v>15</v>
      </c>
      <c r="C122" s="53" t="s">
        <v>25</v>
      </c>
      <c r="D122" s="53" t="s">
        <v>63</v>
      </c>
      <c r="E122" s="54">
        <v>44358</v>
      </c>
      <c r="F122" s="130">
        <v>42841</v>
      </c>
      <c r="G122" s="55" t="str">
        <f>TEXT(Table117[[#This Row],[Date of Joining]],"mmmm")</f>
        <v>April</v>
      </c>
      <c r="H122" s="56">
        <v>3</v>
      </c>
      <c r="I122" s="57" t="s">
        <v>35</v>
      </c>
      <c r="J122" s="58" t="s">
        <v>70</v>
      </c>
    </row>
    <row r="123" spans="1:10">
      <c r="A123" s="52" t="s">
        <v>237</v>
      </c>
      <c r="B123" s="53" t="s">
        <v>12</v>
      </c>
      <c r="C123" s="53" t="s">
        <v>33</v>
      </c>
      <c r="D123" s="53" t="s">
        <v>26</v>
      </c>
      <c r="E123" s="54">
        <v>63232.928571428572</v>
      </c>
      <c r="F123" s="130" t="s">
        <v>12</v>
      </c>
      <c r="G123" s="55" t="str">
        <f>TEXT(Table117[[#This Row],[Date of Joining]],"mmmm")</f>
        <v>Unknown</v>
      </c>
      <c r="H123" s="56">
        <v>5</v>
      </c>
      <c r="I123" s="57" t="s">
        <v>12</v>
      </c>
      <c r="J123" s="58" t="s">
        <v>238</v>
      </c>
    </row>
    <row r="124" spans="1:10">
      <c r="A124" s="52" t="s">
        <v>239</v>
      </c>
      <c r="B124" s="53" t="s">
        <v>40</v>
      </c>
      <c r="C124" s="53" t="s">
        <v>25</v>
      </c>
      <c r="D124" s="53" t="s">
        <v>26</v>
      </c>
      <c r="E124" s="54">
        <v>45676</v>
      </c>
      <c r="F124" s="130">
        <v>42855</v>
      </c>
      <c r="G124" s="55" t="str">
        <f>TEXT(Table117[[#This Row],[Date of Joining]],"mmmm")</f>
        <v>April</v>
      </c>
      <c r="H124" s="56">
        <v>2</v>
      </c>
      <c r="I124" s="57" t="s">
        <v>12</v>
      </c>
      <c r="J124" s="58" t="s">
        <v>240</v>
      </c>
    </row>
    <row r="125" spans="1:10">
      <c r="A125" s="52" t="s">
        <v>241</v>
      </c>
      <c r="B125" s="53" t="s">
        <v>53</v>
      </c>
      <c r="C125" s="53" t="s">
        <v>25</v>
      </c>
      <c r="D125" s="53" t="s">
        <v>17</v>
      </c>
      <c r="E125" s="54">
        <v>52036</v>
      </c>
      <c r="F125" s="130">
        <v>42862</v>
      </c>
      <c r="G125" s="55" t="str">
        <f>TEXT(Table117[[#This Row],[Date of Joining]],"mmmm")</f>
        <v>May</v>
      </c>
      <c r="H125" s="56">
        <v>3</v>
      </c>
      <c r="I125" s="57" t="s">
        <v>27</v>
      </c>
      <c r="J125" s="58" t="s">
        <v>242</v>
      </c>
    </row>
    <row r="126" spans="1:10">
      <c r="A126" s="52" t="s">
        <v>243</v>
      </c>
      <c r="B126" s="67" t="s">
        <v>30</v>
      </c>
      <c r="C126" s="53" t="s">
        <v>12</v>
      </c>
      <c r="D126" s="53" t="s">
        <v>17</v>
      </c>
      <c r="E126" s="54">
        <v>30357</v>
      </c>
      <c r="F126" s="130">
        <v>42869</v>
      </c>
      <c r="G126" s="55" t="str">
        <f>TEXT(Table117[[#This Row],[Date of Joining]],"mmmm")</f>
        <v>May</v>
      </c>
      <c r="H126" s="56">
        <v>5</v>
      </c>
      <c r="I126" s="57" t="s">
        <v>27</v>
      </c>
      <c r="J126" s="58" t="s">
        <v>181</v>
      </c>
    </row>
    <row r="127" spans="1:10">
      <c r="A127" s="52" t="s">
        <v>244</v>
      </c>
      <c r="B127" s="53" t="s">
        <v>24</v>
      </c>
      <c r="C127" s="53" t="s">
        <v>33</v>
      </c>
      <c r="D127" s="53" t="s">
        <v>12</v>
      </c>
      <c r="E127" s="54">
        <v>60034</v>
      </c>
      <c r="F127" s="130">
        <v>42876</v>
      </c>
      <c r="G127" s="55" t="str">
        <f>TEXT(Table117[[#This Row],[Date of Joining]],"mmmm")</f>
        <v>May</v>
      </c>
      <c r="H127" s="56">
        <v>1</v>
      </c>
      <c r="I127" s="57" t="s">
        <v>35</v>
      </c>
      <c r="J127" s="58" t="s">
        <v>245</v>
      </c>
    </row>
    <row r="128" spans="1:10">
      <c r="A128" s="52" t="s">
        <v>246</v>
      </c>
      <c r="B128" s="53" t="s">
        <v>24</v>
      </c>
      <c r="C128" s="53" t="s">
        <v>10</v>
      </c>
      <c r="D128" s="53" t="s">
        <v>12</v>
      </c>
      <c r="E128" s="54">
        <v>90019</v>
      </c>
      <c r="F128" s="130">
        <v>42883</v>
      </c>
      <c r="G128" s="55" t="str">
        <f>TEXT(Table117[[#This Row],[Date of Joining]],"mmmm")</f>
        <v>May</v>
      </c>
      <c r="H128" s="56">
        <v>5</v>
      </c>
      <c r="I128" s="57" t="s">
        <v>12</v>
      </c>
      <c r="J128" s="58" t="s">
        <v>247</v>
      </c>
    </row>
    <row r="129" spans="1:10">
      <c r="A129" s="52" t="s">
        <v>248</v>
      </c>
      <c r="B129" s="67" t="s">
        <v>53</v>
      </c>
      <c r="C129" s="53" t="s">
        <v>12</v>
      </c>
      <c r="D129" s="53" t="s">
        <v>17</v>
      </c>
      <c r="E129" s="54">
        <v>71494</v>
      </c>
      <c r="F129" s="130">
        <v>42890</v>
      </c>
      <c r="G129" s="55" t="str">
        <f>TEXT(Table117[[#This Row],[Date of Joining]],"mmmm")</f>
        <v>June</v>
      </c>
      <c r="H129" s="56">
        <v>3</v>
      </c>
      <c r="I129" s="57" t="s">
        <v>27</v>
      </c>
      <c r="J129" s="58" t="s">
        <v>249</v>
      </c>
    </row>
    <row r="130" spans="1:10">
      <c r="A130" s="52" t="s">
        <v>250</v>
      </c>
      <c r="B130" s="53" t="s">
        <v>24</v>
      </c>
      <c r="C130" s="53" t="s">
        <v>10</v>
      </c>
      <c r="D130" s="53" t="s">
        <v>26</v>
      </c>
      <c r="E130" s="54">
        <v>91953</v>
      </c>
      <c r="F130" s="130">
        <v>42897</v>
      </c>
      <c r="G130" s="55" t="str">
        <f>TEXT(Table117[[#This Row],[Date of Joining]],"mmmm")</f>
        <v>June</v>
      </c>
      <c r="H130" s="56">
        <v>2</v>
      </c>
      <c r="I130" s="57" t="s">
        <v>27</v>
      </c>
      <c r="J130" s="58" t="s">
        <v>88</v>
      </c>
    </row>
    <row r="131" spans="1:10">
      <c r="A131" s="52" t="s">
        <v>251</v>
      </c>
      <c r="B131" s="53" t="s">
        <v>40</v>
      </c>
      <c r="C131" s="53" t="s">
        <v>25</v>
      </c>
      <c r="D131" s="53" t="s">
        <v>26</v>
      </c>
      <c r="E131" s="54">
        <v>30402</v>
      </c>
      <c r="F131" s="130">
        <v>42904</v>
      </c>
      <c r="G131" s="55" t="str">
        <f>TEXT(Table117[[#This Row],[Date of Joining]],"mmmm")</f>
        <v>June</v>
      </c>
      <c r="H131" s="56">
        <v>1</v>
      </c>
      <c r="I131" s="57" t="s">
        <v>12</v>
      </c>
      <c r="J131" s="58" t="s">
        <v>252</v>
      </c>
    </row>
    <row r="132" spans="1:10">
      <c r="A132" s="52" t="s">
        <v>253</v>
      </c>
      <c r="B132" s="67" t="s">
        <v>53</v>
      </c>
      <c r="C132" s="53" t="s">
        <v>12</v>
      </c>
      <c r="D132" s="53" t="s">
        <v>46</v>
      </c>
      <c r="E132" s="54">
        <v>62994</v>
      </c>
      <c r="F132" s="130">
        <v>42911</v>
      </c>
      <c r="G132" s="55" t="str">
        <f>TEXT(Table117[[#This Row],[Date of Joining]],"mmmm")</f>
        <v>June</v>
      </c>
      <c r="H132" s="56">
        <v>3</v>
      </c>
      <c r="I132" s="57" t="s">
        <v>12</v>
      </c>
      <c r="J132" s="58" t="s">
        <v>113</v>
      </c>
    </row>
    <row r="133" spans="1:10">
      <c r="A133" s="52" t="s">
        <v>254</v>
      </c>
      <c r="B133" s="53" t="s">
        <v>21</v>
      </c>
      <c r="C133" s="53" t="s">
        <v>25</v>
      </c>
      <c r="D133" s="53" t="s">
        <v>34</v>
      </c>
      <c r="E133" s="54">
        <v>48289</v>
      </c>
      <c r="F133" s="130" t="s">
        <v>12</v>
      </c>
      <c r="G133" s="55" t="str">
        <f>TEXT(Table117[[#This Row],[Date of Joining]],"mmmm")</f>
        <v>Unknown</v>
      </c>
      <c r="H133" s="56">
        <v>3</v>
      </c>
      <c r="I133" s="57" t="s">
        <v>27</v>
      </c>
      <c r="J133" s="58" t="s">
        <v>44</v>
      </c>
    </row>
    <row r="134" spans="1:10">
      <c r="A134" s="52" t="s">
        <v>255</v>
      </c>
      <c r="B134" s="53" t="s">
        <v>38</v>
      </c>
      <c r="C134" s="53" t="s">
        <v>41</v>
      </c>
      <c r="D134" s="53" t="s">
        <v>17</v>
      </c>
      <c r="E134" s="54">
        <v>34402</v>
      </c>
      <c r="F134" s="130">
        <v>42925</v>
      </c>
      <c r="G134" s="55" t="str">
        <f>TEXT(Table117[[#This Row],[Date of Joining]],"mmmm")</f>
        <v>July</v>
      </c>
      <c r="H134" s="56">
        <v>3</v>
      </c>
      <c r="I134" s="57" t="s">
        <v>18</v>
      </c>
      <c r="J134" s="58" t="s">
        <v>107</v>
      </c>
    </row>
    <row r="135" spans="1:10">
      <c r="A135" s="52" t="s">
        <v>256</v>
      </c>
      <c r="B135" s="53" t="s">
        <v>15</v>
      </c>
      <c r="C135" s="53" t="s">
        <v>16</v>
      </c>
      <c r="D135" s="53" t="s">
        <v>26</v>
      </c>
      <c r="E135" s="54">
        <v>38678</v>
      </c>
      <c r="F135" s="130">
        <v>42932</v>
      </c>
      <c r="G135" s="55" t="str">
        <f>TEXT(Table117[[#This Row],[Date of Joining]],"mmmm")</f>
        <v>July</v>
      </c>
      <c r="H135" s="56">
        <v>3</v>
      </c>
      <c r="I135" s="57" t="s">
        <v>18</v>
      </c>
      <c r="J135" s="58" t="s">
        <v>257</v>
      </c>
    </row>
    <row r="136" spans="1:10">
      <c r="A136" s="52" t="s">
        <v>258</v>
      </c>
      <c r="B136" s="53" t="s">
        <v>40</v>
      </c>
      <c r="C136" s="53" t="s">
        <v>16</v>
      </c>
      <c r="D136" s="53" t="s">
        <v>17</v>
      </c>
      <c r="E136" s="54">
        <v>45758</v>
      </c>
      <c r="F136" s="130">
        <v>42939</v>
      </c>
      <c r="G136" s="55" t="str">
        <f>TEXT(Table117[[#This Row],[Date of Joining]],"mmmm")</f>
        <v>July</v>
      </c>
      <c r="H136" s="56">
        <v>3</v>
      </c>
      <c r="I136" s="57" t="s">
        <v>12</v>
      </c>
      <c r="J136" s="58" t="s">
        <v>224</v>
      </c>
    </row>
    <row r="137" spans="1:10">
      <c r="A137" s="52" t="s">
        <v>259</v>
      </c>
      <c r="B137" s="53" t="s">
        <v>15</v>
      </c>
      <c r="C137" s="53" t="s">
        <v>41</v>
      </c>
      <c r="D137" s="53" t="s">
        <v>34</v>
      </c>
      <c r="E137" s="54">
        <v>62476</v>
      </c>
      <c r="F137" s="130">
        <v>42946</v>
      </c>
      <c r="G137" s="55" t="str">
        <f>TEXT(Table117[[#This Row],[Date of Joining]],"mmmm")</f>
        <v>July</v>
      </c>
      <c r="H137" s="56">
        <v>1</v>
      </c>
      <c r="I137" s="57" t="s">
        <v>18</v>
      </c>
      <c r="J137" s="58" t="s">
        <v>137</v>
      </c>
    </row>
    <row r="138" spans="1:10">
      <c r="A138" s="52" t="s">
        <v>260</v>
      </c>
      <c r="B138" s="53" t="s">
        <v>12</v>
      </c>
      <c r="C138" s="53" t="s">
        <v>33</v>
      </c>
      <c r="D138" s="53" t="s">
        <v>46</v>
      </c>
      <c r="E138" s="54">
        <v>39280</v>
      </c>
      <c r="F138" s="130">
        <v>42953</v>
      </c>
      <c r="G138" s="55" t="str">
        <f>TEXT(Table117[[#This Row],[Date of Joining]],"mmmm")</f>
        <v>August</v>
      </c>
      <c r="H138" s="56">
        <v>3</v>
      </c>
      <c r="I138" s="57" t="s">
        <v>35</v>
      </c>
      <c r="J138" s="58" t="s">
        <v>98</v>
      </c>
    </row>
    <row r="139" spans="1:10">
      <c r="A139" s="52" t="s">
        <v>261</v>
      </c>
      <c r="B139" s="53" t="s">
        <v>30</v>
      </c>
      <c r="C139" s="53" t="s">
        <v>10</v>
      </c>
      <c r="D139" s="53" t="s">
        <v>34</v>
      </c>
      <c r="E139" s="54">
        <v>60335</v>
      </c>
      <c r="F139" s="130">
        <v>42960</v>
      </c>
      <c r="G139" s="55" t="str">
        <f>TEXT(Table117[[#This Row],[Date of Joining]],"mmmm")</f>
        <v>August</v>
      </c>
      <c r="H139" s="56">
        <v>4</v>
      </c>
      <c r="I139" s="57" t="s">
        <v>18</v>
      </c>
      <c r="J139" s="58" t="s">
        <v>128</v>
      </c>
    </row>
    <row r="140" spans="1:10">
      <c r="A140" s="52" t="s">
        <v>262</v>
      </c>
      <c r="B140" s="53" t="s">
        <v>40</v>
      </c>
      <c r="C140" s="53" t="s">
        <v>16</v>
      </c>
      <c r="D140" s="53" t="s">
        <v>17</v>
      </c>
      <c r="E140" s="54">
        <v>84968</v>
      </c>
      <c r="F140" s="130">
        <v>42967</v>
      </c>
      <c r="G140" s="55" t="str">
        <f>TEXT(Table117[[#This Row],[Date of Joining]],"mmmm")</f>
        <v>August</v>
      </c>
      <c r="H140" s="56">
        <v>3.0909090909090908</v>
      </c>
      <c r="I140" s="57" t="s">
        <v>12</v>
      </c>
      <c r="J140" s="58" t="s">
        <v>263</v>
      </c>
    </row>
    <row r="141" spans="1:10">
      <c r="A141" s="52" t="s">
        <v>264</v>
      </c>
      <c r="B141" s="53" t="s">
        <v>40</v>
      </c>
      <c r="C141" s="53" t="s">
        <v>41</v>
      </c>
      <c r="D141" s="53" t="s">
        <v>63</v>
      </c>
      <c r="E141" s="54">
        <v>84750</v>
      </c>
      <c r="F141" s="130">
        <v>42974</v>
      </c>
      <c r="G141" s="55" t="str">
        <f>TEXT(Table117[[#This Row],[Date of Joining]],"mmmm")</f>
        <v>August</v>
      </c>
      <c r="H141" s="56">
        <v>4</v>
      </c>
      <c r="I141" s="57" t="s">
        <v>35</v>
      </c>
      <c r="J141" s="58" t="s">
        <v>59</v>
      </c>
    </row>
    <row r="142" spans="1:10">
      <c r="A142" s="52" t="s">
        <v>265</v>
      </c>
      <c r="B142" s="53" t="s">
        <v>53</v>
      </c>
      <c r="C142" s="53" t="s">
        <v>33</v>
      </c>
      <c r="D142" s="53" t="s">
        <v>12</v>
      </c>
      <c r="E142" s="54">
        <v>73348</v>
      </c>
      <c r="F142" s="130">
        <v>42981</v>
      </c>
      <c r="G142" s="55" t="str">
        <f>TEXT(Table117[[#This Row],[Date of Joining]],"mmmm")</f>
        <v>September</v>
      </c>
      <c r="H142" s="56">
        <v>2</v>
      </c>
      <c r="I142" s="57" t="s">
        <v>12</v>
      </c>
      <c r="J142" s="58" t="s">
        <v>170</v>
      </c>
    </row>
    <row r="143" spans="1:10">
      <c r="A143" s="52" t="s">
        <v>266</v>
      </c>
      <c r="B143" s="53" t="s">
        <v>40</v>
      </c>
      <c r="C143" s="53" t="s">
        <v>25</v>
      </c>
      <c r="D143" s="53" t="s">
        <v>26</v>
      </c>
      <c r="E143" s="54">
        <v>73697</v>
      </c>
      <c r="F143" s="130">
        <v>42988</v>
      </c>
      <c r="G143" s="55" t="str">
        <f>TEXT(Table117[[#This Row],[Date of Joining]],"mmmm")</f>
        <v>September</v>
      </c>
      <c r="H143" s="56">
        <v>4</v>
      </c>
      <c r="I143" s="57" t="s">
        <v>18</v>
      </c>
      <c r="J143" s="58" t="s">
        <v>12</v>
      </c>
    </row>
    <row r="144" spans="1:10">
      <c r="A144" s="52" t="s">
        <v>267</v>
      </c>
      <c r="B144" s="53" t="s">
        <v>30</v>
      </c>
      <c r="C144" s="53" t="s">
        <v>41</v>
      </c>
      <c r="D144" s="53" t="s">
        <v>26</v>
      </c>
      <c r="E144" s="54">
        <v>66882</v>
      </c>
      <c r="F144" s="130">
        <v>42995</v>
      </c>
      <c r="G144" s="55" t="str">
        <f>TEXT(Table117[[#This Row],[Date of Joining]],"mmmm")</f>
        <v>September</v>
      </c>
      <c r="H144" s="56">
        <v>5</v>
      </c>
      <c r="I144" s="57" t="s">
        <v>18</v>
      </c>
      <c r="J144" s="58" t="s">
        <v>84</v>
      </c>
    </row>
    <row r="145" spans="1:10">
      <c r="A145" s="52" t="s">
        <v>268</v>
      </c>
      <c r="B145" s="53" t="s">
        <v>21</v>
      </c>
      <c r="C145" s="67" t="s">
        <v>41</v>
      </c>
      <c r="D145" s="53" t="s">
        <v>12</v>
      </c>
      <c r="E145" s="54">
        <v>86775</v>
      </c>
      <c r="F145" s="130">
        <v>43002</v>
      </c>
      <c r="G145" s="55" t="str">
        <f>TEXT(Table117[[#This Row],[Date of Joining]],"mmmm")</f>
        <v>September</v>
      </c>
      <c r="H145" s="56">
        <v>3</v>
      </c>
      <c r="I145" s="57" t="s">
        <v>18</v>
      </c>
      <c r="J145" s="58" t="s">
        <v>94</v>
      </c>
    </row>
    <row r="146" spans="1:10">
      <c r="A146" s="52" t="s">
        <v>269</v>
      </c>
      <c r="B146" s="53" t="s">
        <v>40</v>
      </c>
      <c r="C146" s="53" t="s">
        <v>25</v>
      </c>
      <c r="D146" s="53" t="s">
        <v>46</v>
      </c>
      <c r="E146" s="54">
        <v>91620</v>
      </c>
      <c r="F146" s="130">
        <v>43009</v>
      </c>
      <c r="G146" s="55" t="str">
        <f>TEXT(Table117[[#This Row],[Date of Joining]],"mmmm")</f>
        <v>October</v>
      </c>
      <c r="H146" s="56">
        <v>2.6666666666666665</v>
      </c>
      <c r="I146" s="57" t="s">
        <v>12</v>
      </c>
      <c r="J146" s="58" t="s">
        <v>270</v>
      </c>
    </row>
    <row r="147" spans="1:10">
      <c r="A147" s="52" t="s">
        <v>271</v>
      </c>
      <c r="B147" s="67" t="s">
        <v>15</v>
      </c>
      <c r="C147" s="53" t="s">
        <v>12</v>
      </c>
      <c r="D147" s="53" t="s">
        <v>12</v>
      </c>
      <c r="E147" s="54">
        <v>94148</v>
      </c>
      <c r="F147" s="130">
        <v>43016</v>
      </c>
      <c r="G147" s="55" t="str">
        <f>TEXT(Table117[[#This Row],[Date of Joining]],"mmmm")</f>
        <v>October</v>
      </c>
      <c r="H147" s="56">
        <v>2</v>
      </c>
      <c r="I147" s="57" t="s">
        <v>12</v>
      </c>
      <c r="J147" s="58" t="s">
        <v>272</v>
      </c>
    </row>
    <row r="148" spans="1:10">
      <c r="A148" s="52" t="s">
        <v>273</v>
      </c>
      <c r="B148" s="53" t="s">
        <v>38</v>
      </c>
      <c r="C148" s="53" t="s">
        <v>25</v>
      </c>
      <c r="D148" s="53" t="s">
        <v>63</v>
      </c>
      <c r="E148" s="54">
        <v>35627</v>
      </c>
      <c r="F148" s="130">
        <v>43023</v>
      </c>
      <c r="G148" s="55" t="str">
        <f>TEXT(Table117[[#This Row],[Date of Joining]],"mmmm")</f>
        <v>October</v>
      </c>
      <c r="H148" s="56">
        <v>5</v>
      </c>
      <c r="I148" s="57" t="s">
        <v>35</v>
      </c>
      <c r="J148" s="58" t="s">
        <v>257</v>
      </c>
    </row>
    <row r="149" spans="1:10">
      <c r="A149" s="52" t="s">
        <v>274</v>
      </c>
      <c r="B149" s="53" t="s">
        <v>24</v>
      </c>
      <c r="C149" s="53" t="s">
        <v>41</v>
      </c>
      <c r="D149" s="53" t="s">
        <v>26</v>
      </c>
      <c r="E149" s="54">
        <v>57141</v>
      </c>
      <c r="F149" s="130">
        <v>43030</v>
      </c>
      <c r="G149" s="55" t="str">
        <f>TEXT(Table117[[#This Row],[Date of Joining]],"mmmm")</f>
        <v>October</v>
      </c>
      <c r="H149" s="56">
        <v>2</v>
      </c>
      <c r="I149" s="57" t="s">
        <v>12</v>
      </c>
      <c r="J149" s="58" t="s">
        <v>263</v>
      </c>
    </row>
    <row r="150" spans="1:10">
      <c r="A150" s="52" t="s">
        <v>275</v>
      </c>
      <c r="B150" s="53" t="s">
        <v>53</v>
      </c>
      <c r="C150" s="53" t="s">
        <v>25</v>
      </c>
      <c r="D150" s="53" t="s">
        <v>63</v>
      </c>
      <c r="E150" s="54">
        <v>65270</v>
      </c>
      <c r="F150" s="130">
        <v>43037</v>
      </c>
      <c r="G150" s="55" t="str">
        <f>TEXT(Table117[[#This Row],[Date of Joining]],"mmmm")</f>
        <v>October</v>
      </c>
      <c r="H150" s="56">
        <v>1</v>
      </c>
      <c r="I150" s="57" t="s">
        <v>12</v>
      </c>
      <c r="J150" s="58" t="s">
        <v>276</v>
      </c>
    </row>
    <row r="151" spans="1:10">
      <c r="A151" s="52" t="s">
        <v>277</v>
      </c>
      <c r="B151" s="67" t="s">
        <v>53</v>
      </c>
      <c r="C151" s="53" t="s">
        <v>12</v>
      </c>
      <c r="D151" s="53" t="s">
        <v>46</v>
      </c>
      <c r="E151" s="54">
        <v>67335</v>
      </c>
      <c r="F151" s="130">
        <v>43044</v>
      </c>
      <c r="G151" s="55" t="str">
        <f>TEXT(Table117[[#This Row],[Date of Joining]],"mmmm")</f>
        <v>November</v>
      </c>
      <c r="H151" s="56">
        <v>1</v>
      </c>
      <c r="I151" s="57" t="s">
        <v>18</v>
      </c>
      <c r="J151" s="58" t="s">
        <v>143</v>
      </c>
    </row>
    <row r="152" spans="1:10">
      <c r="A152" s="52" t="s">
        <v>278</v>
      </c>
      <c r="B152" s="53" t="s">
        <v>38</v>
      </c>
      <c r="C152" s="53" t="s">
        <v>41</v>
      </c>
      <c r="D152" s="53" t="s">
        <v>34</v>
      </c>
      <c r="E152" s="54">
        <v>98475</v>
      </c>
      <c r="F152" s="130">
        <v>43051</v>
      </c>
      <c r="G152" s="55" t="str">
        <f>TEXT(Table117[[#This Row],[Date of Joining]],"mmmm")</f>
        <v>November</v>
      </c>
      <c r="H152" s="56">
        <v>5</v>
      </c>
      <c r="I152" s="57" t="s">
        <v>18</v>
      </c>
      <c r="J152" s="58" t="s">
        <v>279</v>
      </c>
    </row>
  </sheetData>
  <mergeCells count="1">
    <mergeCell ref="A1:P1"/>
  </mergeCells>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9E7244-16D0-45E2-BEC9-5B2830E2EC93}">
  <dimension ref="A1:R153"/>
  <sheetViews>
    <sheetView topLeftCell="A128" workbookViewId="0">
      <selection activeCell="A2" sqref="A2:H152"/>
    </sheetView>
  </sheetViews>
  <sheetFormatPr defaultRowHeight="14.4"/>
  <cols>
    <col min="1" max="1" width="13.109375" customWidth="1"/>
    <col min="2" max="2" width="11.21875" customWidth="1"/>
    <col min="3" max="3" width="11" customWidth="1"/>
    <col min="4" max="4" width="11.5546875" customWidth="1"/>
    <col min="5" max="5" width="9.6640625" customWidth="1"/>
    <col min="6" max="6" width="14.21875" customWidth="1"/>
    <col min="8" max="8" width="10.109375" customWidth="1"/>
    <col min="9" max="9" width="19.33203125" customWidth="1"/>
    <col min="10" max="10" width="13.21875" customWidth="1"/>
    <col min="11" max="11" width="15.21875" customWidth="1"/>
    <col min="12" max="12" width="15.109375" customWidth="1"/>
    <col min="13" max="13" width="14.109375" customWidth="1"/>
    <col min="14" max="14" width="12.44140625" customWidth="1"/>
    <col min="15" max="15" width="14.6640625" style="141" customWidth="1"/>
    <col min="16" max="16" width="18.44140625" customWidth="1"/>
    <col min="17" max="17" width="10.5546875" customWidth="1"/>
  </cols>
  <sheetData>
    <row r="1" spans="1:18" ht="21.6" thickBot="1">
      <c r="A1" s="198" t="s">
        <v>361</v>
      </c>
      <c r="B1" s="198"/>
      <c r="C1" s="198"/>
      <c r="D1" s="198"/>
      <c r="E1" s="198"/>
      <c r="F1" s="198"/>
      <c r="G1" s="198"/>
      <c r="H1" s="198"/>
      <c r="I1" s="198"/>
      <c r="J1" s="198"/>
      <c r="K1" s="198"/>
      <c r="L1" s="198"/>
      <c r="M1" s="198"/>
      <c r="N1" s="198"/>
    </row>
    <row r="2" spans="1:18">
      <c r="A2" s="131" t="s">
        <v>0</v>
      </c>
      <c r="B2" s="132" t="s">
        <v>1</v>
      </c>
      <c r="C2" s="132" t="s">
        <v>2</v>
      </c>
      <c r="D2" s="132" t="s">
        <v>3</v>
      </c>
      <c r="E2" s="133" t="s">
        <v>4</v>
      </c>
      <c r="F2" s="134" t="s">
        <v>5</v>
      </c>
      <c r="G2" s="135" t="s">
        <v>6</v>
      </c>
      <c r="H2" s="151" t="s">
        <v>7</v>
      </c>
      <c r="I2" s="154"/>
      <c r="J2" s="154" t="s">
        <v>362</v>
      </c>
      <c r="K2" s="154" t="s">
        <v>363</v>
      </c>
      <c r="L2" s="154" t="s">
        <v>364</v>
      </c>
      <c r="M2" s="154" t="s">
        <v>365</v>
      </c>
      <c r="N2" s="154" t="s">
        <v>366</v>
      </c>
      <c r="O2" s="154" t="s">
        <v>367</v>
      </c>
      <c r="P2" s="154" t="s">
        <v>368</v>
      </c>
      <c r="Q2" s="154" t="s">
        <v>369</v>
      </c>
    </row>
    <row r="3" spans="1:18">
      <c r="A3" s="52" t="s">
        <v>9</v>
      </c>
      <c r="B3" s="53" t="s">
        <v>12</v>
      </c>
      <c r="C3" s="53" t="s">
        <v>10</v>
      </c>
      <c r="D3" s="53" t="s">
        <v>12</v>
      </c>
      <c r="E3" s="54">
        <v>66280.929577464791</v>
      </c>
      <c r="F3" s="55" t="s">
        <v>12</v>
      </c>
      <c r="G3" s="56">
        <v>2</v>
      </c>
      <c r="H3" s="152" t="s">
        <v>12</v>
      </c>
      <c r="I3" s="154"/>
      <c r="J3" s="154"/>
      <c r="K3" s="154"/>
      <c r="L3" s="154"/>
      <c r="M3" s="154"/>
      <c r="N3" s="154"/>
      <c r="O3" s="154"/>
      <c r="P3" s="154"/>
      <c r="Q3" s="154"/>
      <c r="R3" s="154"/>
    </row>
    <row r="4" spans="1:18">
      <c r="A4" s="52" t="s">
        <v>14</v>
      </c>
      <c r="B4" s="53" t="s">
        <v>15</v>
      </c>
      <c r="C4" s="53" t="s">
        <v>16</v>
      </c>
      <c r="D4" s="53" t="s">
        <v>17</v>
      </c>
      <c r="E4" s="54">
        <v>54255</v>
      </c>
      <c r="F4" s="55">
        <v>42015</v>
      </c>
      <c r="G4" s="56">
        <v>1</v>
      </c>
      <c r="H4" s="152" t="s">
        <v>18</v>
      </c>
      <c r="I4" s="154"/>
      <c r="J4" s="154"/>
      <c r="K4" s="154"/>
      <c r="L4" s="154"/>
      <c r="M4" s="154"/>
      <c r="N4" s="154"/>
      <c r="O4" s="154"/>
      <c r="P4" s="154"/>
      <c r="Q4" s="154"/>
      <c r="R4" s="154"/>
    </row>
    <row r="5" spans="1:18">
      <c r="A5" s="52" t="s">
        <v>20</v>
      </c>
      <c r="B5" s="53" t="s">
        <v>21</v>
      </c>
      <c r="C5" s="53" t="s">
        <v>10</v>
      </c>
      <c r="D5" s="53" t="s">
        <v>17</v>
      </c>
      <c r="E5" s="54">
        <v>63184</v>
      </c>
      <c r="F5" s="55">
        <v>42022</v>
      </c>
      <c r="G5" s="56">
        <v>2</v>
      </c>
      <c r="H5" s="152" t="s">
        <v>12</v>
      </c>
      <c r="I5" s="154"/>
      <c r="J5" s="154"/>
      <c r="K5" s="154"/>
      <c r="L5" s="154"/>
      <c r="M5" s="154"/>
      <c r="N5" s="154"/>
      <c r="O5" s="154"/>
      <c r="P5" s="154"/>
      <c r="Q5" s="154"/>
      <c r="R5" s="154"/>
    </row>
    <row r="6" spans="1:18">
      <c r="A6" s="52" t="s">
        <v>23</v>
      </c>
      <c r="B6" s="53" t="s">
        <v>24</v>
      </c>
      <c r="C6" s="53" t="s">
        <v>25</v>
      </c>
      <c r="D6" s="53" t="s">
        <v>26</v>
      </c>
      <c r="E6" s="54">
        <v>94406</v>
      </c>
      <c r="F6" s="55">
        <v>42029</v>
      </c>
      <c r="G6" s="56">
        <v>1</v>
      </c>
      <c r="H6" s="152" t="s">
        <v>27</v>
      </c>
      <c r="I6" s="154"/>
      <c r="J6" s="154"/>
      <c r="K6" s="154"/>
      <c r="L6" s="154"/>
      <c r="M6" s="154"/>
      <c r="N6" s="154"/>
      <c r="O6" s="154"/>
      <c r="P6" s="154"/>
      <c r="Q6" s="154"/>
      <c r="R6" s="154"/>
    </row>
    <row r="7" spans="1:18">
      <c r="A7" s="52" t="s">
        <v>29</v>
      </c>
      <c r="B7" s="53" t="s">
        <v>30</v>
      </c>
      <c r="C7" s="53" t="s">
        <v>25</v>
      </c>
      <c r="D7" s="53" t="s">
        <v>17</v>
      </c>
      <c r="E7" s="54">
        <v>64120</v>
      </c>
      <c r="F7" s="55">
        <v>42036</v>
      </c>
      <c r="G7" s="56">
        <v>1</v>
      </c>
      <c r="H7" s="152" t="s">
        <v>27</v>
      </c>
      <c r="I7" s="154"/>
      <c r="J7" s="154"/>
      <c r="K7" s="154"/>
      <c r="L7" s="154"/>
      <c r="M7" s="154"/>
      <c r="N7" s="154"/>
      <c r="O7" s="154"/>
      <c r="P7" s="154"/>
      <c r="Q7" s="154"/>
      <c r="R7" s="154"/>
    </row>
    <row r="8" spans="1:18">
      <c r="A8" s="52" t="s">
        <v>32</v>
      </c>
      <c r="B8" s="53" t="s">
        <v>21</v>
      </c>
      <c r="C8" s="53" t="s">
        <v>33</v>
      </c>
      <c r="D8" s="53" t="s">
        <v>34</v>
      </c>
      <c r="E8" s="54">
        <v>78421</v>
      </c>
      <c r="F8" s="55">
        <v>42043</v>
      </c>
      <c r="G8" s="56">
        <v>2</v>
      </c>
      <c r="H8" s="152" t="s">
        <v>35</v>
      </c>
      <c r="I8" s="154"/>
      <c r="J8" s="154"/>
      <c r="K8" s="154"/>
      <c r="L8" s="154"/>
      <c r="M8" s="154"/>
      <c r="N8" s="154"/>
      <c r="O8" s="154"/>
      <c r="P8" s="154"/>
      <c r="Q8" s="154"/>
      <c r="R8" s="154"/>
    </row>
    <row r="9" spans="1:18">
      <c r="A9" s="52" t="s">
        <v>37</v>
      </c>
      <c r="B9" s="53" t="s">
        <v>38</v>
      </c>
      <c r="C9" s="53" t="s">
        <v>25</v>
      </c>
      <c r="D9" s="53" t="s">
        <v>12</v>
      </c>
      <c r="E9" s="54">
        <v>67721</v>
      </c>
      <c r="F9" s="55">
        <v>42050</v>
      </c>
      <c r="G9" s="56">
        <v>2.9411764705882355</v>
      </c>
      <c r="H9" s="152" t="s">
        <v>27</v>
      </c>
      <c r="I9" s="154"/>
      <c r="J9" s="154"/>
      <c r="K9" s="154"/>
      <c r="L9" s="154"/>
      <c r="M9" s="154"/>
      <c r="N9" s="154"/>
      <c r="O9" s="154"/>
      <c r="P9" s="154"/>
      <c r="Q9" s="154"/>
      <c r="R9" s="154"/>
    </row>
    <row r="10" spans="1:18">
      <c r="A10" s="52" t="s">
        <v>39</v>
      </c>
      <c r="B10" s="53" t="s">
        <v>40</v>
      </c>
      <c r="C10" s="67" t="s">
        <v>41</v>
      </c>
      <c r="D10" s="53" t="s">
        <v>12</v>
      </c>
      <c r="E10" s="54">
        <v>35364</v>
      </c>
      <c r="F10" s="55">
        <v>42057</v>
      </c>
      <c r="G10" s="56">
        <v>2</v>
      </c>
      <c r="H10" s="152" t="s">
        <v>18</v>
      </c>
      <c r="I10" s="154"/>
      <c r="J10" s="154"/>
      <c r="K10" s="154"/>
      <c r="L10" s="154"/>
      <c r="M10" s="154"/>
      <c r="N10" s="154"/>
      <c r="O10" s="154"/>
      <c r="P10" s="154"/>
      <c r="Q10" s="154"/>
      <c r="R10" s="154"/>
    </row>
    <row r="11" spans="1:18">
      <c r="A11" s="52" t="s">
        <v>43</v>
      </c>
      <c r="B11" s="53" t="s">
        <v>21</v>
      </c>
      <c r="C11" s="53" t="s">
        <v>33</v>
      </c>
      <c r="D11" s="53" t="s">
        <v>17</v>
      </c>
      <c r="E11" s="54">
        <v>97881</v>
      </c>
      <c r="F11" s="55">
        <v>42064</v>
      </c>
      <c r="G11" s="56">
        <v>2.9491525423728815</v>
      </c>
      <c r="H11" s="152" t="s">
        <v>35</v>
      </c>
      <c r="I11" s="154"/>
      <c r="J11" s="154"/>
      <c r="K11" s="154"/>
      <c r="L11" s="154"/>
      <c r="M11" s="154"/>
      <c r="N11" s="154"/>
      <c r="O11" s="154"/>
      <c r="P11" s="154"/>
      <c r="Q11" s="154"/>
      <c r="R11" s="154"/>
    </row>
    <row r="12" spans="1:18">
      <c r="A12" s="52" t="s">
        <v>45</v>
      </c>
      <c r="B12" s="53" t="s">
        <v>40</v>
      </c>
      <c r="C12" s="53" t="s">
        <v>16</v>
      </c>
      <c r="D12" s="53" t="s">
        <v>46</v>
      </c>
      <c r="E12" s="54">
        <v>91846</v>
      </c>
      <c r="F12" s="55">
        <v>42071</v>
      </c>
      <c r="G12" s="56">
        <v>2.9491525423728815</v>
      </c>
      <c r="H12" s="152" t="s">
        <v>27</v>
      </c>
      <c r="I12" s="155"/>
      <c r="J12" s="156"/>
      <c r="K12" s="154"/>
      <c r="L12" s="154"/>
      <c r="M12" s="154"/>
      <c r="N12" s="157"/>
      <c r="O12" s="158"/>
      <c r="P12" s="159"/>
      <c r="Q12" s="154"/>
      <c r="R12" s="154"/>
    </row>
    <row r="13" spans="1:18">
      <c r="A13" s="52" t="s">
        <v>48</v>
      </c>
      <c r="B13" s="53" t="s">
        <v>38</v>
      </c>
      <c r="C13" s="53" t="s">
        <v>10</v>
      </c>
      <c r="D13" s="53" t="s">
        <v>46</v>
      </c>
      <c r="E13" s="54">
        <v>64247</v>
      </c>
      <c r="F13" s="55">
        <v>42078</v>
      </c>
      <c r="G13" s="56">
        <v>1</v>
      </c>
      <c r="H13" s="152" t="s">
        <v>35</v>
      </c>
      <c r="I13" s="155"/>
      <c r="J13" s="156"/>
      <c r="K13" s="154"/>
      <c r="L13" s="154"/>
      <c r="M13" s="154"/>
      <c r="N13" s="157"/>
      <c r="O13" s="158"/>
      <c r="P13" s="159"/>
      <c r="Q13" s="154"/>
      <c r="R13" s="154"/>
    </row>
    <row r="14" spans="1:18">
      <c r="A14" s="52" t="s">
        <v>50</v>
      </c>
      <c r="B14" s="53" t="s">
        <v>38</v>
      </c>
      <c r="C14" s="53" t="s">
        <v>33</v>
      </c>
      <c r="D14" s="53" t="s">
        <v>26</v>
      </c>
      <c r="E14" s="54">
        <v>91180</v>
      </c>
      <c r="F14" s="55">
        <v>42085</v>
      </c>
      <c r="G14" s="56">
        <v>5</v>
      </c>
      <c r="H14" s="152" t="s">
        <v>27</v>
      </c>
      <c r="I14" s="155"/>
      <c r="J14" s="156"/>
      <c r="K14" s="154"/>
      <c r="L14" s="154"/>
      <c r="M14" s="154"/>
      <c r="N14" s="157"/>
      <c r="O14" s="158"/>
      <c r="P14" s="159"/>
      <c r="Q14" s="154"/>
      <c r="R14" s="154"/>
    </row>
    <row r="15" spans="1:18">
      <c r="A15" s="52" t="s">
        <v>52</v>
      </c>
      <c r="B15" s="53" t="s">
        <v>53</v>
      </c>
      <c r="C15" s="53" t="s">
        <v>25</v>
      </c>
      <c r="D15" s="53" t="s">
        <v>12</v>
      </c>
      <c r="E15" s="54">
        <v>96418</v>
      </c>
      <c r="F15" s="55">
        <v>42092</v>
      </c>
      <c r="G15" s="56">
        <v>5</v>
      </c>
      <c r="H15" s="152" t="s">
        <v>27</v>
      </c>
      <c r="I15" s="155"/>
      <c r="J15" s="156"/>
      <c r="K15" s="154"/>
      <c r="L15" s="154"/>
      <c r="M15" s="154"/>
      <c r="N15" s="157"/>
      <c r="O15" s="158"/>
      <c r="P15" s="159"/>
      <c r="Q15" s="154"/>
      <c r="R15" s="154"/>
    </row>
    <row r="16" spans="1:18">
      <c r="A16" s="52" t="s">
        <v>54</v>
      </c>
      <c r="B16" s="67" t="s">
        <v>38</v>
      </c>
      <c r="C16" s="53" t="s">
        <v>12</v>
      </c>
      <c r="D16" s="53" t="s">
        <v>34</v>
      </c>
      <c r="E16" s="54">
        <v>62158</v>
      </c>
      <c r="F16" s="55">
        <v>42099</v>
      </c>
      <c r="G16" s="56">
        <v>4</v>
      </c>
      <c r="H16" s="152" t="s">
        <v>12</v>
      </c>
      <c r="I16" s="155"/>
      <c r="J16" s="156"/>
      <c r="K16" s="154"/>
      <c r="L16" s="154"/>
      <c r="M16" s="154"/>
      <c r="N16" s="157"/>
      <c r="O16" s="158"/>
      <c r="P16" s="159"/>
      <c r="Q16" s="154"/>
      <c r="R16" s="154"/>
    </row>
    <row r="17" spans="1:18">
      <c r="A17" s="52" t="s">
        <v>56</v>
      </c>
      <c r="B17" s="53" t="s">
        <v>30</v>
      </c>
      <c r="C17" s="53" t="s">
        <v>16</v>
      </c>
      <c r="D17" s="53" t="s">
        <v>12</v>
      </c>
      <c r="E17" s="54">
        <v>59894</v>
      </c>
      <c r="F17" s="55">
        <v>42106</v>
      </c>
      <c r="G17" s="56">
        <v>2</v>
      </c>
      <c r="H17" s="152" t="s">
        <v>27</v>
      </c>
      <c r="I17" s="155"/>
      <c r="J17" s="156"/>
      <c r="K17" s="154"/>
      <c r="L17" s="154"/>
      <c r="M17" s="154"/>
      <c r="N17" s="157"/>
      <c r="O17" s="158"/>
      <c r="P17" s="159"/>
      <c r="Q17" s="154"/>
      <c r="R17" s="154"/>
    </row>
    <row r="18" spans="1:18">
      <c r="A18" s="52" t="s">
        <v>58</v>
      </c>
      <c r="B18" s="53" t="s">
        <v>12</v>
      </c>
      <c r="C18" s="53" t="s">
        <v>33</v>
      </c>
      <c r="D18" s="53" t="s">
        <v>34</v>
      </c>
      <c r="E18" s="54">
        <v>92443</v>
      </c>
      <c r="F18" s="55">
        <v>42113</v>
      </c>
      <c r="G18" s="56">
        <v>3</v>
      </c>
      <c r="H18" s="152" t="s">
        <v>18</v>
      </c>
      <c r="I18" s="155"/>
      <c r="J18" s="156"/>
      <c r="K18" s="154"/>
      <c r="L18" s="154"/>
      <c r="M18" s="154"/>
      <c r="N18" s="157"/>
      <c r="O18" s="158"/>
      <c r="P18" s="159"/>
      <c r="Q18" s="154"/>
      <c r="R18" s="154"/>
    </row>
    <row r="19" spans="1:18">
      <c r="A19" s="52" t="s">
        <v>60</v>
      </c>
      <c r="B19" s="67" t="s">
        <v>53</v>
      </c>
      <c r="C19" s="53" t="s">
        <v>12</v>
      </c>
      <c r="D19" s="53" t="s">
        <v>17</v>
      </c>
      <c r="E19" s="54">
        <v>90271</v>
      </c>
      <c r="F19" s="55">
        <v>42120</v>
      </c>
      <c r="G19" s="56">
        <v>2.9285714285714284</v>
      </c>
      <c r="H19" s="152" t="s">
        <v>12</v>
      </c>
      <c r="I19" s="155"/>
      <c r="J19" s="156"/>
      <c r="K19" s="154"/>
      <c r="L19" s="154"/>
      <c r="M19" s="154"/>
      <c r="N19" s="157"/>
      <c r="O19" s="158"/>
      <c r="P19" s="159"/>
      <c r="Q19" s="154"/>
      <c r="R19" s="154"/>
    </row>
    <row r="20" spans="1:18">
      <c r="A20" s="52" t="s">
        <v>62</v>
      </c>
      <c r="B20" s="53" t="s">
        <v>30</v>
      </c>
      <c r="C20" s="53" t="s">
        <v>10</v>
      </c>
      <c r="D20" s="53" t="s">
        <v>63</v>
      </c>
      <c r="E20" s="54">
        <v>41341</v>
      </c>
      <c r="F20" s="55">
        <v>42127</v>
      </c>
      <c r="G20" s="56">
        <v>1</v>
      </c>
      <c r="H20" s="152" t="s">
        <v>18</v>
      </c>
      <c r="I20" s="155"/>
      <c r="J20" s="156"/>
      <c r="K20" s="154"/>
      <c r="L20" s="154"/>
      <c r="M20" s="154"/>
      <c r="N20" s="157"/>
      <c r="O20" s="158"/>
      <c r="P20" s="159"/>
      <c r="Q20" s="154"/>
      <c r="R20" s="154"/>
    </row>
    <row r="21" spans="1:18">
      <c r="A21" s="52" t="s">
        <v>65</v>
      </c>
      <c r="B21" s="53" t="s">
        <v>21</v>
      </c>
      <c r="C21" s="53" t="s">
        <v>10</v>
      </c>
      <c r="D21" s="53" t="s">
        <v>46</v>
      </c>
      <c r="E21" s="54">
        <v>73602</v>
      </c>
      <c r="F21" s="55">
        <v>42134</v>
      </c>
      <c r="G21" s="56">
        <v>2.9459459459459461</v>
      </c>
      <c r="H21" s="152" t="s">
        <v>12</v>
      </c>
      <c r="I21" s="155"/>
      <c r="J21" s="156"/>
      <c r="K21" s="154"/>
      <c r="L21" s="154"/>
      <c r="M21" s="154"/>
      <c r="N21" s="157"/>
      <c r="O21" s="158"/>
      <c r="P21" s="159"/>
      <c r="Q21" s="154"/>
      <c r="R21" s="154"/>
    </row>
    <row r="22" spans="1:18">
      <c r="A22" s="52" t="s">
        <v>67</v>
      </c>
      <c r="B22" s="67" t="s">
        <v>15</v>
      </c>
      <c r="C22" s="53" t="s">
        <v>12</v>
      </c>
      <c r="D22" s="53" t="s">
        <v>34</v>
      </c>
      <c r="E22" s="54">
        <v>67531</v>
      </c>
      <c r="F22" s="55">
        <v>42141</v>
      </c>
      <c r="G22" s="56">
        <v>5</v>
      </c>
      <c r="H22" s="152" t="s">
        <v>35</v>
      </c>
      <c r="I22" s="155"/>
      <c r="J22" s="156"/>
      <c r="K22" s="154"/>
      <c r="L22" s="154"/>
      <c r="M22" s="154"/>
      <c r="N22" s="157"/>
      <c r="O22" s="158"/>
      <c r="P22" s="159"/>
      <c r="Q22" s="154"/>
      <c r="R22" s="154"/>
    </row>
    <row r="23" spans="1:18">
      <c r="A23" s="52" t="s">
        <v>69</v>
      </c>
      <c r="B23" s="53" t="s">
        <v>30</v>
      </c>
      <c r="C23" s="53" t="s">
        <v>16</v>
      </c>
      <c r="D23" s="53" t="s">
        <v>26</v>
      </c>
      <c r="E23" s="54">
        <v>65248.853658536587</v>
      </c>
      <c r="F23" s="55">
        <v>42148</v>
      </c>
      <c r="G23" s="56">
        <v>2</v>
      </c>
      <c r="H23" s="152" t="s">
        <v>18</v>
      </c>
      <c r="I23" s="155"/>
      <c r="J23" s="156"/>
      <c r="K23" s="154"/>
      <c r="L23" s="154"/>
      <c r="M23" s="154"/>
      <c r="N23" s="157"/>
      <c r="O23" s="158"/>
      <c r="P23" s="159"/>
      <c r="Q23" s="154"/>
      <c r="R23" s="154"/>
    </row>
    <row r="24" spans="1:18">
      <c r="A24" s="52" t="s">
        <v>71</v>
      </c>
      <c r="B24" s="53" t="s">
        <v>30</v>
      </c>
      <c r="C24" s="53" t="s">
        <v>16</v>
      </c>
      <c r="D24" s="53" t="s">
        <v>12</v>
      </c>
      <c r="E24" s="54">
        <v>98922</v>
      </c>
      <c r="F24" s="55">
        <v>42155</v>
      </c>
      <c r="G24" s="56">
        <v>4</v>
      </c>
      <c r="H24" s="152" t="s">
        <v>12</v>
      </c>
      <c r="I24" s="155"/>
      <c r="J24" s="156"/>
      <c r="K24" s="154"/>
      <c r="L24" s="154"/>
      <c r="M24" s="154"/>
      <c r="N24" s="157"/>
      <c r="O24" s="158"/>
      <c r="P24" s="159"/>
      <c r="Q24" s="154"/>
      <c r="R24" s="154"/>
    </row>
    <row r="25" spans="1:18">
      <c r="A25" s="52" t="s">
        <v>73</v>
      </c>
      <c r="B25" s="53" t="s">
        <v>15</v>
      </c>
      <c r="C25" s="53" t="s">
        <v>10</v>
      </c>
      <c r="D25" s="53" t="s">
        <v>34</v>
      </c>
      <c r="E25" s="54">
        <v>38333</v>
      </c>
      <c r="F25" s="55">
        <v>42162</v>
      </c>
      <c r="G25" s="56">
        <v>5</v>
      </c>
      <c r="H25" s="152" t="s">
        <v>12</v>
      </c>
      <c r="I25" s="155"/>
      <c r="J25" s="156"/>
      <c r="K25" s="154"/>
      <c r="L25" s="154"/>
      <c r="M25" s="154"/>
      <c r="N25" s="157"/>
      <c r="O25" s="158"/>
      <c r="P25" s="159"/>
      <c r="Q25" s="154"/>
      <c r="R25" s="154"/>
    </row>
    <row r="26" spans="1:18">
      <c r="A26" s="52" t="s">
        <v>75</v>
      </c>
      <c r="B26" s="53" t="s">
        <v>21</v>
      </c>
      <c r="C26" s="53" t="s">
        <v>41</v>
      </c>
      <c r="D26" s="53" t="s">
        <v>46</v>
      </c>
      <c r="E26" s="54">
        <v>36515</v>
      </c>
      <c r="F26" s="55">
        <v>42169</v>
      </c>
      <c r="G26" s="56">
        <v>3</v>
      </c>
      <c r="H26" s="152" t="s">
        <v>27</v>
      </c>
      <c r="I26" s="155"/>
      <c r="J26" s="156"/>
      <c r="K26" s="154"/>
      <c r="L26" s="154"/>
      <c r="M26" s="154"/>
      <c r="N26" s="157"/>
      <c r="O26" s="158"/>
      <c r="P26" s="159"/>
      <c r="Q26" s="154"/>
      <c r="R26" s="154"/>
    </row>
    <row r="27" spans="1:18">
      <c r="A27" s="52" t="s">
        <v>77</v>
      </c>
      <c r="B27" s="53" t="s">
        <v>38</v>
      </c>
      <c r="C27" s="53" t="s">
        <v>10</v>
      </c>
      <c r="D27" s="53" t="s">
        <v>12</v>
      </c>
      <c r="E27" s="54">
        <v>91005</v>
      </c>
      <c r="F27" s="55">
        <v>42176</v>
      </c>
      <c r="G27" s="56">
        <v>1</v>
      </c>
      <c r="H27" s="152" t="s">
        <v>18</v>
      </c>
      <c r="I27" s="155"/>
      <c r="J27" s="156"/>
      <c r="K27" s="154"/>
      <c r="L27" s="154"/>
      <c r="M27" s="154"/>
      <c r="N27" s="157"/>
      <c r="O27" s="158"/>
      <c r="P27" s="159"/>
      <c r="Q27" s="154"/>
      <c r="R27" s="154"/>
    </row>
    <row r="28" spans="1:18">
      <c r="A28" s="52" t="s">
        <v>79</v>
      </c>
      <c r="B28" s="53" t="s">
        <v>40</v>
      </c>
      <c r="C28" s="53" t="s">
        <v>12</v>
      </c>
      <c r="D28" s="53" t="s">
        <v>12</v>
      </c>
      <c r="E28" s="54">
        <v>52272</v>
      </c>
      <c r="F28" s="55">
        <v>42183</v>
      </c>
      <c r="G28" s="56">
        <v>3</v>
      </c>
      <c r="H28" s="152" t="s">
        <v>12</v>
      </c>
      <c r="I28" s="155"/>
      <c r="J28" s="156"/>
      <c r="K28" s="154"/>
      <c r="L28" s="154"/>
      <c r="M28" s="154"/>
      <c r="N28" s="157"/>
      <c r="O28" s="158"/>
      <c r="P28" s="159"/>
      <c r="Q28" s="154"/>
      <c r="R28" s="154"/>
    </row>
    <row r="29" spans="1:18">
      <c r="A29" s="52" t="s">
        <v>81</v>
      </c>
      <c r="B29" s="53" t="s">
        <v>15</v>
      </c>
      <c r="C29" s="53" t="s">
        <v>25</v>
      </c>
      <c r="D29" s="53" t="s">
        <v>17</v>
      </c>
      <c r="E29" s="54">
        <v>76518</v>
      </c>
      <c r="F29" s="55">
        <v>42190</v>
      </c>
      <c r="G29" s="56">
        <v>2</v>
      </c>
      <c r="H29" s="152" t="s">
        <v>35</v>
      </c>
      <c r="I29" s="155"/>
      <c r="J29" s="156"/>
      <c r="K29" s="154"/>
      <c r="L29" s="154"/>
      <c r="M29" s="154"/>
      <c r="N29" s="157"/>
      <c r="O29" s="158"/>
      <c r="P29" s="159"/>
      <c r="Q29" s="154"/>
      <c r="R29" s="154"/>
    </row>
    <row r="30" spans="1:18">
      <c r="A30" s="52" t="s">
        <v>83</v>
      </c>
      <c r="B30" s="53" t="s">
        <v>21</v>
      </c>
      <c r="C30" s="53" t="s">
        <v>33</v>
      </c>
      <c r="D30" s="53" t="s">
        <v>46</v>
      </c>
      <c r="E30" s="54">
        <v>41448</v>
      </c>
      <c r="F30" s="55">
        <v>42197</v>
      </c>
      <c r="G30" s="56">
        <v>3</v>
      </c>
      <c r="H30" s="152" t="s">
        <v>18</v>
      </c>
      <c r="I30" s="155"/>
      <c r="J30" s="156"/>
      <c r="K30" s="154"/>
      <c r="L30" s="154"/>
      <c r="M30" s="154"/>
      <c r="N30" s="157"/>
      <c r="O30" s="158"/>
      <c r="P30" s="159"/>
      <c r="Q30" s="154"/>
      <c r="R30" s="154"/>
    </row>
    <row r="31" spans="1:18">
      <c r="A31" s="52" t="s">
        <v>85</v>
      </c>
      <c r="B31" s="53" t="s">
        <v>24</v>
      </c>
      <c r="C31" s="53" t="s">
        <v>16</v>
      </c>
      <c r="D31" s="53" t="s">
        <v>46</v>
      </c>
      <c r="E31" s="54">
        <v>49282</v>
      </c>
      <c r="F31" s="55">
        <v>42204</v>
      </c>
      <c r="G31" s="56">
        <v>2</v>
      </c>
      <c r="H31" s="152" t="s">
        <v>35</v>
      </c>
      <c r="I31" s="155"/>
      <c r="J31" s="156"/>
      <c r="K31" s="154"/>
      <c r="L31" s="154"/>
      <c r="M31" s="154"/>
      <c r="N31" s="157"/>
      <c r="O31" s="158"/>
      <c r="P31" s="159"/>
      <c r="Q31" s="154"/>
      <c r="R31" s="154"/>
    </row>
    <row r="32" spans="1:18">
      <c r="A32" s="52" t="s">
        <v>87</v>
      </c>
      <c r="B32" s="53" t="s">
        <v>53</v>
      </c>
      <c r="C32" s="53" t="s">
        <v>41</v>
      </c>
      <c r="D32" s="53" t="s">
        <v>46</v>
      </c>
      <c r="E32" s="54">
        <v>92959</v>
      </c>
      <c r="F32" s="55">
        <v>42211</v>
      </c>
      <c r="G32" s="56">
        <v>5</v>
      </c>
      <c r="H32" s="152" t="s">
        <v>12</v>
      </c>
      <c r="I32" s="155"/>
      <c r="J32" s="156"/>
      <c r="K32" s="154"/>
      <c r="L32" s="154"/>
      <c r="M32" s="154"/>
      <c r="N32" s="157"/>
      <c r="O32" s="158"/>
      <c r="P32" s="159"/>
      <c r="Q32" s="154"/>
      <c r="R32" s="154"/>
    </row>
    <row r="33" spans="1:18">
      <c r="A33" s="52" t="s">
        <v>89</v>
      </c>
      <c r="B33" s="53" t="s">
        <v>12</v>
      </c>
      <c r="C33" s="67" t="s">
        <v>41</v>
      </c>
      <c r="D33" s="53" t="s">
        <v>12</v>
      </c>
      <c r="E33" s="54">
        <v>92259</v>
      </c>
      <c r="F33" s="55" t="s">
        <v>12</v>
      </c>
      <c r="G33" s="56">
        <v>1</v>
      </c>
      <c r="H33" s="152" t="s">
        <v>12</v>
      </c>
      <c r="I33" s="155"/>
      <c r="J33" s="156"/>
      <c r="K33" s="154"/>
      <c r="L33" s="154"/>
      <c r="M33" s="154"/>
      <c r="N33" s="157"/>
      <c r="O33" s="158"/>
      <c r="P33" s="159"/>
      <c r="Q33" s="154"/>
      <c r="R33" s="154"/>
    </row>
    <row r="34" spans="1:18">
      <c r="A34" s="52" t="s">
        <v>91</v>
      </c>
      <c r="B34" s="53" t="s">
        <v>15</v>
      </c>
      <c r="C34" s="53" t="s">
        <v>16</v>
      </c>
      <c r="D34" s="53" t="s">
        <v>17</v>
      </c>
      <c r="E34" s="54">
        <v>92299</v>
      </c>
      <c r="F34" s="55">
        <v>42225</v>
      </c>
      <c r="G34" s="56">
        <v>3</v>
      </c>
      <c r="H34" s="152" t="s">
        <v>27</v>
      </c>
      <c r="I34" s="155"/>
      <c r="J34" s="156"/>
      <c r="K34" s="154"/>
      <c r="L34" s="154"/>
      <c r="M34" s="154"/>
      <c r="N34" s="157"/>
      <c r="O34" s="158"/>
      <c r="P34" s="159"/>
      <c r="Q34" s="154"/>
      <c r="R34" s="154"/>
    </row>
    <row r="35" spans="1:18">
      <c r="A35" s="52" t="s">
        <v>93</v>
      </c>
      <c r="B35" s="53" t="s">
        <v>38</v>
      </c>
      <c r="C35" s="53" t="s">
        <v>16</v>
      </c>
      <c r="D35" s="53" t="s">
        <v>12</v>
      </c>
      <c r="E35" s="54">
        <v>95586</v>
      </c>
      <c r="F35" s="55">
        <v>42232</v>
      </c>
      <c r="G35" s="56">
        <v>3</v>
      </c>
      <c r="H35" s="152" t="s">
        <v>18</v>
      </c>
      <c r="I35" s="155"/>
      <c r="J35" s="156"/>
      <c r="K35" s="154"/>
      <c r="L35" s="154"/>
      <c r="M35" s="154"/>
      <c r="N35" s="157"/>
      <c r="O35" s="158"/>
      <c r="P35" s="159"/>
      <c r="Q35" s="154"/>
      <c r="R35" s="154"/>
    </row>
    <row r="36" spans="1:18">
      <c r="A36" s="52" t="s">
        <v>95</v>
      </c>
      <c r="B36" s="53" t="s">
        <v>40</v>
      </c>
      <c r="C36" s="53" t="s">
        <v>12</v>
      </c>
      <c r="D36" s="53" t="s">
        <v>26</v>
      </c>
      <c r="E36" s="54">
        <v>95367</v>
      </c>
      <c r="F36" s="55">
        <v>42239</v>
      </c>
      <c r="G36" s="56">
        <v>2.9381443298969074</v>
      </c>
      <c r="H36" s="152" t="s">
        <v>27</v>
      </c>
      <c r="I36" s="155"/>
      <c r="J36" s="156"/>
      <c r="K36" s="154"/>
      <c r="L36" s="154"/>
      <c r="M36" s="154"/>
      <c r="N36" s="157"/>
      <c r="O36" s="158"/>
      <c r="P36" s="159"/>
      <c r="Q36" s="154"/>
      <c r="R36" s="154"/>
    </row>
    <row r="37" spans="1:18">
      <c r="A37" s="52" t="s">
        <v>97</v>
      </c>
      <c r="B37" s="53" t="s">
        <v>24</v>
      </c>
      <c r="C37" s="53" t="s">
        <v>25</v>
      </c>
      <c r="D37" s="53" t="s">
        <v>63</v>
      </c>
      <c r="E37" s="54">
        <v>79549</v>
      </c>
      <c r="F37" s="55">
        <v>42246</v>
      </c>
      <c r="G37" s="56">
        <v>3</v>
      </c>
      <c r="H37" s="152" t="s">
        <v>12</v>
      </c>
      <c r="I37" s="155"/>
      <c r="J37" s="156"/>
      <c r="K37" s="154"/>
      <c r="L37" s="154"/>
      <c r="M37" s="154"/>
      <c r="N37" s="157"/>
      <c r="O37" s="158"/>
      <c r="P37" s="159"/>
      <c r="Q37" s="154"/>
      <c r="R37" s="154"/>
    </row>
    <row r="38" spans="1:18">
      <c r="A38" s="52" t="s">
        <v>99</v>
      </c>
      <c r="B38" s="67" t="s">
        <v>21</v>
      </c>
      <c r="C38" s="53" t="s">
        <v>12</v>
      </c>
      <c r="D38" s="53" t="s">
        <v>46</v>
      </c>
      <c r="E38" s="54">
        <v>54463</v>
      </c>
      <c r="F38" s="55">
        <v>42253</v>
      </c>
      <c r="G38" s="56">
        <v>4</v>
      </c>
      <c r="H38" s="152" t="s">
        <v>27</v>
      </c>
      <c r="I38" s="155"/>
      <c r="J38" s="156"/>
      <c r="K38" s="154"/>
      <c r="L38" s="154"/>
      <c r="M38" s="154"/>
      <c r="N38" s="157"/>
      <c r="O38" s="158"/>
      <c r="P38" s="159"/>
      <c r="Q38" s="154"/>
      <c r="R38" s="154"/>
    </row>
    <row r="39" spans="1:18">
      <c r="A39" s="52" t="s">
        <v>100</v>
      </c>
      <c r="B39" s="53" t="s">
        <v>21</v>
      </c>
      <c r="C39" s="53" t="s">
        <v>33</v>
      </c>
      <c r="D39" s="53" t="s">
        <v>26</v>
      </c>
      <c r="E39" s="54">
        <v>89781</v>
      </c>
      <c r="F39" s="55">
        <v>42260</v>
      </c>
      <c r="G39" s="56">
        <v>2.9263157894736844</v>
      </c>
      <c r="H39" s="152" t="s">
        <v>35</v>
      </c>
      <c r="I39" s="155"/>
      <c r="J39" s="156"/>
      <c r="K39" s="154"/>
      <c r="L39" s="154"/>
      <c r="M39" s="154"/>
      <c r="N39" s="157"/>
      <c r="O39" s="158"/>
      <c r="P39" s="159"/>
      <c r="Q39" s="154"/>
      <c r="R39" s="154"/>
    </row>
    <row r="40" spans="1:18">
      <c r="A40" s="52" t="s">
        <v>102</v>
      </c>
      <c r="B40" s="53" t="s">
        <v>21</v>
      </c>
      <c r="C40" s="53" t="s">
        <v>16</v>
      </c>
      <c r="D40" s="53" t="s">
        <v>12</v>
      </c>
      <c r="E40" s="54">
        <v>64796</v>
      </c>
      <c r="F40" s="55">
        <v>42267</v>
      </c>
      <c r="G40" s="56">
        <v>2.9263157894736844</v>
      </c>
      <c r="H40" s="152" t="s">
        <v>18</v>
      </c>
      <c r="I40" s="155"/>
      <c r="J40" s="156"/>
      <c r="K40" s="154"/>
      <c r="L40" s="154"/>
      <c r="M40" s="154"/>
      <c r="N40" s="157"/>
      <c r="O40" s="158"/>
      <c r="P40" s="159"/>
      <c r="Q40" s="154"/>
      <c r="R40" s="154"/>
    </row>
    <row r="41" spans="1:18">
      <c r="A41" s="52" t="s">
        <v>104</v>
      </c>
      <c r="B41" s="53" t="s">
        <v>24</v>
      </c>
      <c r="C41" s="53" t="s">
        <v>41</v>
      </c>
      <c r="D41" s="53" t="s">
        <v>46</v>
      </c>
      <c r="E41" s="54">
        <v>52093</v>
      </c>
      <c r="F41" s="55">
        <v>42274</v>
      </c>
      <c r="G41" s="56">
        <v>5</v>
      </c>
      <c r="H41" s="152" t="s">
        <v>12</v>
      </c>
      <c r="I41" s="155"/>
      <c r="J41" s="156"/>
      <c r="K41" s="154"/>
      <c r="L41" s="154"/>
      <c r="M41" s="154"/>
      <c r="N41" s="157"/>
      <c r="O41" s="158"/>
      <c r="P41" s="159"/>
      <c r="Q41" s="154"/>
      <c r="R41" s="154"/>
    </row>
    <row r="42" spans="1:18">
      <c r="A42" s="52" t="s">
        <v>106</v>
      </c>
      <c r="B42" s="53" t="s">
        <v>40</v>
      </c>
      <c r="C42" s="53" t="s">
        <v>16</v>
      </c>
      <c r="D42" s="53" t="s">
        <v>46</v>
      </c>
      <c r="E42" s="54">
        <v>48224</v>
      </c>
      <c r="F42" s="55">
        <v>42281</v>
      </c>
      <c r="G42" s="56">
        <v>3</v>
      </c>
      <c r="H42" s="152" t="s">
        <v>12</v>
      </c>
      <c r="I42" s="155"/>
      <c r="J42" s="156"/>
      <c r="K42" s="154"/>
      <c r="L42" s="154"/>
      <c r="M42" s="154"/>
      <c r="N42" s="157"/>
      <c r="O42" s="158"/>
      <c r="P42" s="159"/>
      <c r="Q42" s="154"/>
      <c r="R42" s="154"/>
    </row>
    <row r="43" spans="1:18">
      <c r="A43" s="52" t="s">
        <v>108</v>
      </c>
      <c r="B43" s="53" t="s">
        <v>53</v>
      </c>
      <c r="C43" s="53" t="s">
        <v>10</v>
      </c>
      <c r="D43" s="53" t="s">
        <v>46</v>
      </c>
      <c r="E43" s="54">
        <v>64268.634615384617</v>
      </c>
      <c r="F43" s="55" t="s">
        <v>12</v>
      </c>
      <c r="G43" s="56">
        <v>4</v>
      </c>
      <c r="H43" s="152" t="s">
        <v>35</v>
      </c>
      <c r="I43" s="155"/>
      <c r="J43" s="156"/>
      <c r="K43" s="154"/>
      <c r="L43" s="154"/>
      <c r="M43" s="154"/>
      <c r="N43" s="157"/>
      <c r="O43" s="158"/>
      <c r="P43" s="159"/>
      <c r="Q43" s="154"/>
      <c r="R43" s="154"/>
    </row>
    <row r="44" spans="1:18">
      <c r="A44" s="52" t="s">
        <v>110</v>
      </c>
      <c r="B44" s="53" t="s">
        <v>21</v>
      </c>
      <c r="C44" s="53" t="s">
        <v>33</v>
      </c>
      <c r="D44" s="53" t="s">
        <v>17</v>
      </c>
      <c r="E44" s="54">
        <v>33956</v>
      </c>
      <c r="F44" s="55">
        <v>42295</v>
      </c>
      <c r="G44" s="56">
        <v>2.8913043478260869</v>
      </c>
      <c r="H44" s="152" t="s">
        <v>12</v>
      </c>
      <c r="I44" s="155"/>
      <c r="J44" s="156"/>
      <c r="K44" s="154"/>
      <c r="L44" s="154"/>
      <c r="M44" s="154"/>
      <c r="N44" s="157"/>
      <c r="O44" s="158"/>
      <c r="P44" s="159"/>
      <c r="Q44" s="154"/>
      <c r="R44" s="154"/>
    </row>
    <row r="45" spans="1:18">
      <c r="A45" s="52" t="s">
        <v>112</v>
      </c>
      <c r="B45" s="67" t="s">
        <v>53</v>
      </c>
      <c r="C45" s="53" t="s">
        <v>12</v>
      </c>
      <c r="D45" s="53" t="s">
        <v>63</v>
      </c>
      <c r="E45" s="54">
        <v>64913</v>
      </c>
      <c r="F45" s="55">
        <v>42302</v>
      </c>
      <c r="G45" s="56">
        <v>1</v>
      </c>
      <c r="H45" s="152" t="s">
        <v>35</v>
      </c>
      <c r="I45" s="155"/>
      <c r="J45" s="156"/>
      <c r="K45" s="154"/>
      <c r="L45" s="154"/>
      <c r="M45" s="154"/>
      <c r="N45" s="157"/>
      <c r="O45" s="158"/>
      <c r="P45" s="159"/>
      <c r="Q45" s="154"/>
      <c r="R45" s="154"/>
    </row>
    <row r="46" spans="1:18">
      <c r="A46" s="52" t="s">
        <v>114</v>
      </c>
      <c r="B46" s="53" t="s">
        <v>21</v>
      </c>
      <c r="C46" s="53" t="s">
        <v>41</v>
      </c>
      <c r="D46" s="53" t="s">
        <v>63</v>
      </c>
      <c r="E46" s="54">
        <v>35326</v>
      </c>
      <c r="F46" s="55">
        <v>42309</v>
      </c>
      <c r="G46" s="56">
        <v>2.912087912087912</v>
      </c>
      <c r="H46" s="152" t="s">
        <v>35</v>
      </c>
      <c r="I46" s="155"/>
      <c r="J46" s="156"/>
      <c r="K46" s="154"/>
      <c r="L46" s="154"/>
      <c r="M46" s="154"/>
      <c r="N46" s="157"/>
      <c r="O46" s="158"/>
      <c r="P46" s="159"/>
      <c r="Q46" s="154"/>
      <c r="R46" s="154"/>
    </row>
    <row r="47" spans="1:18">
      <c r="A47" s="52" t="s">
        <v>116</v>
      </c>
      <c r="B47" s="53" t="s">
        <v>40</v>
      </c>
      <c r="C47" s="53" t="s">
        <v>10</v>
      </c>
      <c r="D47" s="53" t="s">
        <v>12</v>
      </c>
      <c r="E47" s="54">
        <v>81610</v>
      </c>
      <c r="F47" s="55">
        <v>42316</v>
      </c>
      <c r="G47" s="56">
        <v>1</v>
      </c>
      <c r="H47" s="152" t="s">
        <v>12</v>
      </c>
      <c r="I47" s="155"/>
      <c r="J47" s="156"/>
      <c r="K47" s="154"/>
      <c r="L47" s="154"/>
      <c r="M47" s="154"/>
      <c r="N47" s="157"/>
      <c r="O47" s="158"/>
      <c r="P47" s="159"/>
      <c r="Q47" s="154"/>
      <c r="R47" s="154"/>
    </row>
    <row r="48" spans="1:18">
      <c r="A48" s="52" t="s">
        <v>118</v>
      </c>
      <c r="B48" s="53" t="s">
        <v>12</v>
      </c>
      <c r="C48" s="53" t="s">
        <v>16</v>
      </c>
      <c r="D48" s="53" t="s">
        <v>12</v>
      </c>
      <c r="E48" s="54">
        <v>58962</v>
      </c>
      <c r="F48" s="55">
        <v>42323</v>
      </c>
      <c r="G48" s="56">
        <v>3</v>
      </c>
      <c r="H48" s="152" t="s">
        <v>18</v>
      </c>
      <c r="I48" s="155"/>
      <c r="J48" s="156"/>
      <c r="K48" s="154"/>
      <c r="L48" s="154"/>
      <c r="M48" s="154"/>
      <c r="N48" s="157"/>
      <c r="O48" s="158"/>
      <c r="P48" s="159"/>
      <c r="Q48" s="154"/>
      <c r="R48" s="154"/>
    </row>
    <row r="49" spans="1:18">
      <c r="A49" s="52" t="s">
        <v>119</v>
      </c>
      <c r="B49" s="53" t="s">
        <v>40</v>
      </c>
      <c r="C49" s="53" t="s">
        <v>33</v>
      </c>
      <c r="D49" s="53" t="s">
        <v>17</v>
      </c>
      <c r="E49" s="54">
        <v>92701</v>
      </c>
      <c r="F49" s="55">
        <v>42330</v>
      </c>
      <c r="G49" s="56">
        <v>3</v>
      </c>
      <c r="H49" s="152" t="s">
        <v>18</v>
      </c>
      <c r="I49" s="155"/>
      <c r="J49" s="156"/>
      <c r="K49" s="154"/>
      <c r="L49" s="154"/>
      <c r="M49" s="154"/>
      <c r="N49" s="157"/>
      <c r="O49" s="158"/>
      <c r="P49" s="159"/>
      <c r="Q49" s="154"/>
      <c r="R49" s="154"/>
    </row>
    <row r="50" spans="1:18">
      <c r="A50" s="52" t="s">
        <v>121</v>
      </c>
      <c r="B50" s="53" t="s">
        <v>40</v>
      </c>
      <c r="C50" s="53" t="s">
        <v>16</v>
      </c>
      <c r="D50" s="53" t="s">
        <v>34</v>
      </c>
      <c r="E50" s="54">
        <v>58245</v>
      </c>
      <c r="F50" s="55">
        <v>42337</v>
      </c>
      <c r="G50" s="56">
        <v>4</v>
      </c>
      <c r="H50" s="152" t="s">
        <v>12</v>
      </c>
      <c r="I50" s="155"/>
      <c r="J50" s="156"/>
      <c r="K50" s="154"/>
      <c r="L50" s="154"/>
      <c r="M50" s="154"/>
      <c r="N50" s="157"/>
      <c r="O50" s="158"/>
      <c r="P50" s="159"/>
      <c r="Q50" s="154"/>
      <c r="R50" s="154"/>
    </row>
    <row r="51" spans="1:18">
      <c r="A51" s="52" t="s">
        <v>123</v>
      </c>
      <c r="B51" s="53" t="s">
        <v>24</v>
      </c>
      <c r="C51" s="53" t="s">
        <v>10</v>
      </c>
      <c r="D51" s="53" t="s">
        <v>12</v>
      </c>
      <c r="E51" s="54">
        <v>66513</v>
      </c>
      <c r="F51" s="55">
        <v>42344</v>
      </c>
      <c r="G51" s="56">
        <v>2</v>
      </c>
      <c r="H51" s="152" t="s">
        <v>18</v>
      </c>
      <c r="I51" s="155"/>
      <c r="J51" s="156"/>
      <c r="K51" s="154"/>
      <c r="L51" s="154"/>
      <c r="M51" s="154"/>
      <c r="N51" s="157"/>
      <c r="O51" s="158"/>
      <c r="P51" s="159"/>
      <c r="Q51" s="154"/>
      <c r="R51" s="154"/>
    </row>
    <row r="52" spans="1:18">
      <c r="A52" s="52" t="s">
        <v>124</v>
      </c>
      <c r="B52" s="53" t="s">
        <v>15</v>
      </c>
      <c r="C52" s="53" t="s">
        <v>16</v>
      </c>
      <c r="D52" s="53" t="s">
        <v>17</v>
      </c>
      <c r="E52" s="54">
        <v>78720</v>
      </c>
      <c r="F52" s="55">
        <v>42351</v>
      </c>
      <c r="G52" s="56">
        <v>5</v>
      </c>
      <c r="H52" s="152" t="s">
        <v>35</v>
      </c>
      <c r="I52" s="155"/>
      <c r="J52" s="156"/>
      <c r="K52" s="154"/>
      <c r="L52" s="154"/>
      <c r="M52" s="154"/>
      <c r="N52" s="157"/>
      <c r="O52" s="158"/>
      <c r="P52" s="159"/>
      <c r="Q52" s="154"/>
      <c r="R52" s="154"/>
    </row>
    <row r="53" spans="1:18">
      <c r="A53" s="52" t="s">
        <v>125</v>
      </c>
      <c r="B53" s="53" t="s">
        <v>40</v>
      </c>
      <c r="C53" s="53" t="s">
        <v>12</v>
      </c>
      <c r="D53" s="53" t="s">
        <v>12</v>
      </c>
      <c r="E53" s="54">
        <v>30686</v>
      </c>
      <c r="F53" s="55" t="s">
        <v>12</v>
      </c>
      <c r="G53" s="56">
        <v>2</v>
      </c>
      <c r="H53" s="152" t="s">
        <v>35</v>
      </c>
      <c r="I53" s="155"/>
      <c r="J53" s="156"/>
      <c r="K53" s="154"/>
      <c r="L53" s="154"/>
      <c r="M53" s="154"/>
      <c r="N53" s="157"/>
      <c r="O53" s="158"/>
      <c r="P53" s="159"/>
      <c r="Q53" s="154"/>
      <c r="R53" s="154"/>
    </row>
    <row r="54" spans="1:18">
      <c r="A54" s="52" t="s">
        <v>127</v>
      </c>
      <c r="B54" s="53" t="s">
        <v>38</v>
      </c>
      <c r="C54" s="53" t="s">
        <v>25</v>
      </c>
      <c r="D54" s="53" t="s">
        <v>34</v>
      </c>
      <c r="E54" s="54">
        <v>39423</v>
      </c>
      <c r="F54" s="55">
        <v>42365</v>
      </c>
      <c r="G54" s="56">
        <v>5</v>
      </c>
      <c r="H54" s="152" t="s">
        <v>12</v>
      </c>
      <c r="I54" s="155"/>
      <c r="J54" s="156"/>
      <c r="K54" s="154"/>
      <c r="L54" s="154"/>
      <c r="M54" s="154"/>
      <c r="N54" s="157"/>
      <c r="O54" s="158"/>
      <c r="P54" s="159"/>
      <c r="Q54" s="154"/>
      <c r="R54" s="154"/>
    </row>
    <row r="55" spans="1:18">
      <c r="A55" s="52" t="s">
        <v>129</v>
      </c>
      <c r="B55" s="53" t="s">
        <v>15</v>
      </c>
      <c r="C55" s="67" t="s">
        <v>41</v>
      </c>
      <c r="D55" s="53" t="s">
        <v>12</v>
      </c>
      <c r="E55" s="54">
        <v>30280</v>
      </c>
      <c r="F55" s="55">
        <v>42372</v>
      </c>
      <c r="G55" s="56">
        <v>1</v>
      </c>
      <c r="H55" s="152" t="s">
        <v>12</v>
      </c>
      <c r="I55" s="155"/>
      <c r="J55" s="156"/>
      <c r="K55" s="154"/>
      <c r="L55" s="154"/>
      <c r="M55" s="154"/>
      <c r="N55" s="157"/>
      <c r="O55" s="158"/>
      <c r="P55" s="159"/>
      <c r="Q55" s="154"/>
      <c r="R55" s="154"/>
    </row>
    <row r="56" spans="1:18">
      <c r="A56" s="52" t="s">
        <v>131</v>
      </c>
      <c r="B56" s="53" t="s">
        <v>15</v>
      </c>
      <c r="C56" s="53" t="s">
        <v>10</v>
      </c>
      <c r="D56" s="53" t="s">
        <v>46</v>
      </c>
      <c r="E56" s="54">
        <v>33352</v>
      </c>
      <c r="F56" s="55">
        <v>42379</v>
      </c>
      <c r="G56" s="56">
        <v>3</v>
      </c>
      <c r="H56" s="152" t="s">
        <v>35</v>
      </c>
      <c r="I56" s="155"/>
      <c r="J56" s="156"/>
      <c r="K56" s="154"/>
      <c r="L56" s="154"/>
      <c r="M56" s="154"/>
      <c r="N56" s="157"/>
      <c r="O56" s="158"/>
      <c r="P56" s="159"/>
      <c r="Q56" s="154"/>
      <c r="R56" s="154"/>
    </row>
    <row r="57" spans="1:18">
      <c r="A57" s="52" t="s">
        <v>132</v>
      </c>
      <c r="B57" s="53" t="s">
        <v>53</v>
      </c>
      <c r="C57" s="53" t="s">
        <v>41</v>
      </c>
      <c r="D57" s="53" t="s">
        <v>46</v>
      </c>
      <c r="E57" s="54">
        <v>75633</v>
      </c>
      <c r="F57" s="55">
        <v>42386</v>
      </c>
      <c r="G57" s="56">
        <v>5</v>
      </c>
      <c r="H57" s="152" t="s">
        <v>18</v>
      </c>
      <c r="I57" s="155"/>
      <c r="J57" s="156"/>
      <c r="K57" s="154"/>
      <c r="L57" s="154"/>
      <c r="M57" s="154"/>
      <c r="N57" s="157"/>
      <c r="O57" s="158"/>
      <c r="P57" s="159"/>
      <c r="Q57" s="154"/>
      <c r="R57" s="154"/>
    </row>
    <row r="58" spans="1:18">
      <c r="A58" s="52" t="s">
        <v>134</v>
      </c>
      <c r="B58" s="53" t="s">
        <v>40</v>
      </c>
      <c r="C58" s="53" t="s">
        <v>12</v>
      </c>
      <c r="D58" s="53" t="s">
        <v>26</v>
      </c>
      <c r="E58" s="54">
        <v>74815</v>
      </c>
      <c r="F58" s="55">
        <v>42393</v>
      </c>
      <c r="G58" s="56">
        <v>5</v>
      </c>
      <c r="H58" s="152" t="s">
        <v>35</v>
      </c>
      <c r="I58" s="155"/>
      <c r="J58" s="156"/>
      <c r="K58" s="154"/>
      <c r="L58" s="154"/>
      <c r="M58" s="154"/>
      <c r="N58" s="157"/>
      <c r="O58" s="158"/>
      <c r="P58" s="159"/>
      <c r="Q58" s="154"/>
      <c r="R58" s="154"/>
    </row>
    <row r="59" spans="1:18">
      <c r="A59" s="52" t="s">
        <v>136</v>
      </c>
      <c r="B59" s="53" t="s">
        <v>24</v>
      </c>
      <c r="C59" s="53" t="s">
        <v>25</v>
      </c>
      <c r="D59" s="53" t="s">
        <v>63</v>
      </c>
      <c r="E59" s="54">
        <v>60011</v>
      </c>
      <c r="F59" s="55">
        <v>42400</v>
      </c>
      <c r="G59" s="56">
        <v>1</v>
      </c>
      <c r="H59" s="152" t="s">
        <v>27</v>
      </c>
      <c r="I59" s="155"/>
      <c r="J59" s="156"/>
      <c r="K59" s="154"/>
      <c r="L59" s="154"/>
      <c r="M59" s="154"/>
      <c r="N59" s="157"/>
      <c r="O59" s="158"/>
      <c r="P59" s="159"/>
      <c r="Q59" s="154"/>
      <c r="R59" s="154"/>
    </row>
    <row r="60" spans="1:18">
      <c r="A60" s="52" t="s">
        <v>138</v>
      </c>
      <c r="B60" s="67" t="s">
        <v>15</v>
      </c>
      <c r="C60" s="53" t="s">
        <v>12</v>
      </c>
      <c r="D60" s="53" t="s">
        <v>34</v>
      </c>
      <c r="E60" s="54">
        <v>96949</v>
      </c>
      <c r="F60" s="55">
        <v>42407</v>
      </c>
      <c r="G60" s="56">
        <v>3</v>
      </c>
      <c r="H60" s="152" t="s">
        <v>12</v>
      </c>
      <c r="I60" s="155"/>
      <c r="J60" s="156"/>
      <c r="K60" s="154"/>
      <c r="L60" s="154"/>
      <c r="M60" s="154"/>
      <c r="N60" s="157"/>
      <c r="O60" s="158"/>
      <c r="P60" s="159"/>
      <c r="Q60" s="154"/>
      <c r="R60" s="154"/>
    </row>
    <row r="61" spans="1:18">
      <c r="A61" s="52" t="s">
        <v>139</v>
      </c>
      <c r="B61" s="53" t="s">
        <v>38</v>
      </c>
      <c r="C61" s="67" t="s">
        <v>41</v>
      </c>
      <c r="D61" s="53" t="s">
        <v>12</v>
      </c>
      <c r="E61" s="54">
        <v>84924</v>
      </c>
      <c r="F61" s="55">
        <v>42414</v>
      </c>
      <c r="G61" s="56">
        <v>5</v>
      </c>
      <c r="H61" s="152" t="s">
        <v>27</v>
      </c>
      <c r="I61" s="155"/>
      <c r="J61" s="156"/>
      <c r="K61" s="154"/>
      <c r="L61" s="154"/>
      <c r="M61" s="154"/>
      <c r="N61" s="157"/>
      <c r="O61" s="158"/>
      <c r="P61" s="159"/>
      <c r="Q61" s="154"/>
      <c r="R61" s="154"/>
    </row>
    <row r="62" spans="1:18">
      <c r="A62" s="52" t="s">
        <v>141</v>
      </c>
      <c r="B62" s="53" t="s">
        <v>38</v>
      </c>
      <c r="C62" s="53" t="s">
        <v>10</v>
      </c>
      <c r="D62" s="53" t="s">
        <v>26</v>
      </c>
      <c r="E62" s="54">
        <v>82033</v>
      </c>
      <c r="F62" s="55">
        <v>42421</v>
      </c>
      <c r="G62" s="56">
        <v>1</v>
      </c>
      <c r="H62" s="152" t="s">
        <v>12</v>
      </c>
      <c r="I62" s="155"/>
      <c r="J62" s="156"/>
      <c r="K62" s="154"/>
      <c r="L62" s="154"/>
      <c r="M62" s="154"/>
      <c r="N62" s="157"/>
      <c r="O62" s="158"/>
      <c r="P62" s="159"/>
      <c r="Q62" s="154"/>
      <c r="R62" s="154"/>
    </row>
    <row r="63" spans="1:18">
      <c r="A63" s="52" t="s">
        <v>142</v>
      </c>
      <c r="B63" s="53" t="s">
        <v>12</v>
      </c>
      <c r="C63" s="53" t="s">
        <v>41</v>
      </c>
      <c r="D63" s="53" t="s">
        <v>17</v>
      </c>
      <c r="E63" s="54">
        <v>64763.364705882355</v>
      </c>
      <c r="F63" s="55" t="s">
        <v>12</v>
      </c>
      <c r="G63" s="56">
        <v>5</v>
      </c>
      <c r="H63" s="152" t="s">
        <v>12</v>
      </c>
      <c r="I63" s="155"/>
      <c r="J63" s="156"/>
      <c r="K63" s="154"/>
      <c r="L63" s="154"/>
      <c r="M63" s="154"/>
      <c r="N63" s="157"/>
      <c r="O63" s="158"/>
      <c r="P63" s="159"/>
      <c r="Q63" s="154"/>
      <c r="R63" s="154"/>
    </row>
    <row r="64" spans="1:18">
      <c r="A64" s="52" t="s">
        <v>144</v>
      </c>
      <c r="B64" s="67" t="s">
        <v>15</v>
      </c>
      <c r="C64" s="53" t="s">
        <v>12</v>
      </c>
      <c r="D64" s="53" t="s">
        <v>63</v>
      </c>
      <c r="E64" s="54">
        <v>31499</v>
      </c>
      <c r="F64" s="55">
        <v>42435</v>
      </c>
      <c r="G64" s="56">
        <v>2</v>
      </c>
      <c r="H64" s="152" t="s">
        <v>12</v>
      </c>
      <c r="I64" s="155"/>
      <c r="J64" s="156"/>
      <c r="K64" s="154"/>
      <c r="L64" s="154"/>
      <c r="M64" s="154"/>
      <c r="N64" s="157"/>
      <c r="O64" s="158"/>
      <c r="P64" s="159"/>
      <c r="Q64" s="154"/>
      <c r="R64" s="154"/>
    </row>
    <row r="65" spans="1:18">
      <c r="A65" s="52" t="s">
        <v>145</v>
      </c>
      <c r="B65" s="53" t="s">
        <v>40</v>
      </c>
      <c r="C65" s="53" t="s">
        <v>33</v>
      </c>
      <c r="D65" s="53" t="s">
        <v>46</v>
      </c>
      <c r="E65" s="54">
        <v>97981</v>
      </c>
      <c r="F65" s="55">
        <v>42442</v>
      </c>
      <c r="G65" s="56">
        <v>5</v>
      </c>
      <c r="H65" s="152" t="s">
        <v>35</v>
      </c>
      <c r="I65" s="155"/>
      <c r="J65" s="156"/>
      <c r="K65" s="154"/>
      <c r="L65" s="154"/>
      <c r="M65" s="154"/>
      <c r="N65" s="157"/>
      <c r="O65" s="158"/>
      <c r="P65" s="159"/>
      <c r="Q65" s="154"/>
      <c r="R65" s="154"/>
    </row>
    <row r="66" spans="1:18">
      <c r="A66" s="52" t="s">
        <v>147</v>
      </c>
      <c r="B66" s="53" t="s">
        <v>15</v>
      </c>
      <c r="C66" s="53" t="s">
        <v>16</v>
      </c>
      <c r="D66" s="53" t="s">
        <v>26</v>
      </c>
      <c r="E66" s="54">
        <v>36541</v>
      </c>
      <c r="F66" s="55">
        <v>42449</v>
      </c>
      <c r="G66" s="56">
        <v>2</v>
      </c>
      <c r="H66" s="152" t="s">
        <v>18</v>
      </c>
      <c r="I66" s="155"/>
      <c r="J66" s="156"/>
      <c r="K66" s="154"/>
      <c r="L66" s="154"/>
      <c r="M66" s="154"/>
      <c r="N66" s="157"/>
      <c r="O66" s="158"/>
      <c r="P66" s="159"/>
      <c r="Q66" s="154"/>
      <c r="R66" s="154"/>
    </row>
    <row r="67" spans="1:18">
      <c r="A67" s="52" t="s">
        <v>149</v>
      </c>
      <c r="B67" s="53" t="s">
        <v>24</v>
      </c>
      <c r="C67" s="53" t="s">
        <v>33</v>
      </c>
      <c r="D67" s="53" t="s">
        <v>34</v>
      </c>
      <c r="E67" s="54">
        <v>84737</v>
      </c>
      <c r="F67" s="55">
        <v>42456</v>
      </c>
      <c r="G67" s="56">
        <v>1</v>
      </c>
      <c r="H67" s="152" t="s">
        <v>27</v>
      </c>
      <c r="I67" s="155"/>
      <c r="J67" s="156"/>
      <c r="K67" s="154"/>
      <c r="L67" s="154"/>
      <c r="M67" s="154"/>
      <c r="N67" s="157"/>
      <c r="O67" s="158"/>
      <c r="P67" s="159"/>
      <c r="Q67" s="154"/>
      <c r="R67" s="154"/>
    </row>
    <row r="68" spans="1:18">
      <c r="A68" s="52" t="s">
        <v>151</v>
      </c>
      <c r="B68" s="53" t="s">
        <v>38</v>
      </c>
      <c r="C68" s="53" t="s">
        <v>10</v>
      </c>
      <c r="D68" s="53" t="s">
        <v>34</v>
      </c>
      <c r="E68" s="54">
        <v>33468</v>
      </c>
      <c r="F68" s="55">
        <v>42463</v>
      </c>
      <c r="G68" s="56">
        <v>4</v>
      </c>
      <c r="H68" s="152" t="s">
        <v>27</v>
      </c>
      <c r="I68" s="155"/>
      <c r="J68" s="156"/>
      <c r="K68" s="154"/>
      <c r="L68" s="154"/>
      <c r="M68" s="154"/>
      <c r="N68" s="157"/>
      <c r="O68" s="158"/>
      <c r="P68" s="159"/>
      <c r="Q68" s="154"/>
      <c r="R68" s="154"/>
    </row>
    <row r="69" spans="1:18">
      <c r="A69" s="52" t="s">
        <v>153</v>
      </c>
      <c r="B69" s="67" t="s">
        <v>38</v>
      </c>
      <c r="C69" s="53" t="s">
        <v>12</v>
      </c>
      <c r="D69" s="53" t="s">
        <v>63</v>
      </c>
      <c r="E69" s="54">
        <v>96365</v>
      </c>
      <c r="F69" s="55">
        <v>42470</v>
      </c>
      <c r="G69" s="56">
        <v>3</v>
      </c>
      <c r="H69" s="152" t="s">
        <v>18</v>
      </c>
      <c r="I69" s="155"/>
      <c r="J69" s="156"/>
      <c r="K69" s="154"/>
      <c r="L69" s="154"/>
      <c r="M69" s="154"/>
      <c r="N69" s="157"/>
      <c r="O69" s="158"/>
      <c r="P69" s="159"/>
      <c r="Q69" s="154"/>
      <c r="R69" s="154"/>
    </row>
    <row r="70" spans="1:18">
      <c r="A70" s="52" t="s">
        <v>155</v>
      </c>
      <c r="B70" s="53" t="s">
        <v>21</v>
      </c>
      <c r="C70" s="53" t="s">
        <v>25</v>
      </c>
      <c r="D70" s="53" t="s">
        <v>34</v>
      </c>
      <c r="E70" s="54">
        <v>61942</v>
      </c>
      <c r="F70" s="55">
        <v>42477</v>
      </c>
      <c r="G70" s="56">
        <v>3</v>
      </c>
      <c r="H70" s="152" t="s">
        <v>35</v>
      </c>
      <c r="I70" s="155"/>
      <c r="J70" s="156"/>
      <c r="K70" s="154"/>
      <c r="L70" s="154"/>
      <c r="M70" s="154"/>
      <c r="N70" s="157"/>
      <c r="O70" s="158"/>
      <c r="P70" s="159"/>
      <c r="Q70" s="154"/>
      <c r="R70" s="154"/>
    </row>
    <row r="71" spans="1:18">
      <c r="A71" s="52" t="s">
        <v>157</v>
      </c>
      <c r="B71" s="53" t="s">
        <v>38</v>
      </c>
      <c r="C71" s="53" t="s">
        <v>10</v>
      </c>
      <c r="D71" s="53" t="s">
        <v>46</v>
      </c>
      <c r="E71" s="54">
        <v>41467</v>
      </c>
      <c r="F71" s="55">
        <v>42484</v>
      </c>
      <c r="G71" s="56">
        <v>2</v>
      </c>
      <c r="H71" s="152" t="s">
        <v>12</v>
      </c>
      <c r="I71" s="155"/>
      <c r="J71" s="156"/>
      <c r="K71" s="154"/>
      <c r="L71" s="154"/>
      <c r="M71" s="154"/>
      <c r="N71" s="157"/>
      <c r="O71" s="158"/>
      <c r="P71" s="159"/>
      <c r="Q71" s="154"/>
      <c r="R71" s="154"/>
    </row>
    <row r="72" spans="1:18">
      <c r="A72" s="52" t="s">
        <v>158</v>
      </c>
      <c r="B72" s="53" t="s">
        <v>53</v>
      </c>
      <c r="C72" s="53" t="s">
        <v>10</v>
      </c>
      <c r="D72" s="53" t="s">
        <v>34</v>
      </c>
      <c r="E72" s="54">
        <v>77096</v>
      </c>
      <c r="F72" s="55">
        <v>42491</v>
      </c>
      <c r="G72" s="56">
        <v>1</v>
      </c>
      <c r="H72" s="152" t="s">
        <v>12</v>
      </c>
      <c r="I72" s="155"/>
      <c r="J72" s="156"/>
      <c r="K72" s="154"/>
      <c r="L72" s="154"/>
      <c r="M72" s="154"/>
      <c r="N72" s="157"/>
      <c r="O72" s="158"/>
      <c r="P72" s="159"/>
      <c r="Q72" s="154"/>
      <c r="R72" s="154"/>
    </row>
    <row r="73" spans="1:18">
      <c r="A73" s="52" t="s">
        <v>160</v>
      </c>
      <c r="B73" s="53" t="s">
        <v>15</v>
      </c>
      <c r="C73" s="53" t="s">
        <v>25</v>
      </c>
      <c r="D73" s="53" t="s">
        <v>63</v>
      </c>
      <c r="E73" s="54">
        <v>69952</v>
      </c>
      <c r="F73" s="55">
        <v>42498</v>
      </c>
      <c r="G73" s="56">
        <v>5</v>
      </c>
      <c r="H73" s="152" t="s">
        <v>35</v>
      </c>
      <c r="I73" s="155"/>
      <c r="J73" s="156"/>
      <c r="K73" s="154"/>
      <c r="L73" s="154"/>
      <c r="M73" s="154"/>
      <c r="N73" s="157"/>
      <c r="O73" s="158"/>
      <c r="P73" s="159"/>
      <c r="Q73" s="154"/>
      <c r="R73" s="154"/>
    </row>
    <row r="74" spans="1:18">
      <c r="A74" s="52" t="s">
        <v>161</v>
      </c>
      <c r="B74" s="53" t="s">
        <v>15</v>
      </c>
      <c r="C74" s="53" t="s">
        <v>41</v>
      </c>
      <c r="D74" s="53" t="s">
        <v>26</v>
      </c>
      <c r="E74" s="54">
        <v>85065</v>
      </c>
      <c r="F74" s="55">
        <v>42505</v>
      </c>
      <c r="G74" s="56">
        <v>3</v>
      </c>
      <c r="H74" s="152" t="s">
        <v>12</v>
      </c>
      <c r="I74" s="155"/>
      <c r="J74" s="156"/>
      <c r="K74" s="154"/>
      <c r="L74" s="154"/>
      <c r="M74" s="154"/>
      <c r="N74" s="157"/>
      <c r="O74" s="158"/>
      <c r="P74" s="159"/>
      <c r="Q74" s="154"/>
      <c r="R74" s="154"/>
    </row>
    <row r="75" spans="1:18">
      <c r="A75" s="52" t="s">
        <v>163</v>
      </c>
      <c r="B75" s="53" t="s">
        <v>53</v>
      </c>
      <c r="C75" s="53" t="s">
        <v>41</v>
      </c>
      <c r="D75" s="53" t="s">
        <v>34</v>
      </c>
      <c r="E75" s="54">
        <v>56512</v>
      </c>
      <c r="F75" s="55">
        <v>42512</v>
      </c>
      <c r="G75" s="56">
        <v>2.8571428571428572</v>
      </c>
      <c r="H75" s="152" t="s">
        <v>18</v>
      </c>
      <c r="I75" s="155"/>
      <c r="J75" s="156"/>
      <c r="K75" s="154"/>
      <c r="L75" s="154"/>
      <c r="M75" s="154"/>
      <c r="N75" s="157"/>
      <c r="O75" s="158"/>
      <c r="P75" s="159"/>
      <c r="Q75" s="154"/>
      <c r="R75" s="154"/>
    </row>
    <row r="76" spans="1:18">
      <c r="A76" s="52" t="s">
        <v>164</v>
      </c>
      <c r="B76" s="53" t="s">
        <v>24</v>
      </c>
      <c r="C76" s="53" t="s">
        <v>25</v>
      </c>
      <c r="D76" s="53" t="s">
        <v>34</v>
      </c>
      <c r="E76" s="54">
        <v>91101</v>
      </c>
      <c r="F76" s="55">
        <v>42519</v>
      </c>
      <c r="G76" s="56">
        <v>4</v>
      </c>
      <c r="H76" s="152" t="s">
        <v>35</v>
      </c>
      <c r="I76" s="155"/>
      <c r="J76" s="156"/>
      <c r="K76" s="154"/>
      <c r="L76" s="154"/>
      <c r="M76" s="154"/>
      <c r="N76" s="157"/>
      <c r="O76" s="158"/>
      <c r="P76" s="159"/>
      <c r="Q76" s="154"/>
      <c r="R76" s="154"/>
    </row>
    <row r="77" spans="1:18">
      <c r="A77" s="52" t="s">
        <v>165</v>
      </c>
      <c r="B77" s="67" t="s">
        <v>38</v>
      </c>
      <c r="C77" s="53" t="s">
        <v>12</v>
      </c>
      <c r="D77" s="53" t="s">
        <v>17</v>
      </c>
      <c r="E77" s="54">
        <v>41243</v>
      </c>
      <c r="F77" s="55">
        <v>42526</v>
      </c>
      <c r="G77" s="56">
        <v>2.838709677419355</v>
      </c>
      <c r="H77" s="152" t="s">
        <v>12</v>
      </c>
      <c r="I77" s="155"/>
      <c r="J77" s="156"/>
      <c r="K77" s="154"/>
      <c r="L77" s="154"/>
      <c r="M77" s="154"/>
      <c r="N77" s="157"/>
      <c r="O77" s="158"/>
      <c r="P77" s="159"/>
      <c r="Q77" s="154"/>
      <c r="R77" s="154"/>
    </row>
    <row r="78" spans="1:18">
      <c r="A78" s="52" t="s">
        <v>166</v>
      </c>
      <c r="B78" s="53" t="s">
        <v>12</v>
      </c>
      <c r="C78" s="53" t="s">
        <v>25</v>
      </c>
      <c r="D78" s="53" t="s">
        <v>12</v>
      </c>
      <c r="E78" s="54">
        <v>96142</v>
      </c>
      <c r="F78" s="55">
        <v>42533</v>
      </c>
      <c r="G78" s="56">
        <v>1</v>
      </c>
      <c r="H78" s="152" t="s">
        <v>18</v>
      </c>
      <c r="I78" s="155"/>
      <c r="J78" s="156"/>
      <c r="K78" s="154"/>
      <c r="L78" s="154"/>
      <c r="M78" s="154"/>
      <c r="N78" s="157"/>
      <c r="O78" s="158"/>
      <c r="P78" s="159"/>
      <c r="Q78" s="154"/>
      <c r="R78" s="154"/>
    </row>
    <row r="79" spans="1:18">
      <c r="A79" s="52" t="s">
        <v>168</v>
      </c>
      <c r="B79" s="53" t="s">
        <v>15</v>
      </c>
      <c r="C79" s="53" t="s">
        <v>33</v>
      </c>
      <c r="D79" s="53" t="s">
        <v>34</v>
      </c>
      <c r="E79" s="54">
        <v>94301</v>
      </c>
      <c r="F79" s="55">
        <v>42540</v>
      </c>
      <c r="G79" s="56">
        <v>1</v>
      </c>
      <c r="H79" s="152" t="s">
        <v>27</v>
      </c>
      <c r="I79" s="155"/>
      <c r="J79" s="156"/>
      <c r="K79" s="154"/>
      <c r="L79" s="154"/>
      <c r="M79" s="154"/>
      <c r="N79" s="157"/>
      <c r="O79" s="158"/>
      <c r="P79" s="159"/>
      <c r="Q79" s="154"/>
      <c r="R79" s="154"/>
    </row>
    <row r="80" spans="1:18">
      <c r="A80" s="52" t="s">
        <v>169</v>
      </c>
      <c r="B80" s="67" t="s">
        <v>30</v>
      </c>
      <c r="C80" s="53" t="s">
        <v>12</v>
      </c>
      <c r="D80" s="53" t="s">
        <v>46</v>
      </c>
      <c r="E80" s="54">
        <v>69166</v>
      </c>
      <c r="F80" s="55">
        <v>42547</v>
      </c>
      <c r="G80" s="56">
        <v>1</v>
      </c>
      <c r="H80" s="152" t="s">
        <v>35</v>
      </c>
      <c r="I80" s="155"/>
      <c r="J80" s="156"/>
      <c r="K80" s="154"/>
      <c r="L80" s="154"/>
      <c r="M80" s="154"/>
      <c r="N80" s="157"/>
      <c r="O80" s="158"/>
      <c r="P80" s="159"/>
      <c r="Q80" s="154"/>
      <c r="R80" s="154"/>
    </row>
    <row r="81" spans="1:18">
      <c r="A81" s="52" t="s">
        <v>171</v>
      </c>
      <c r="B81" s="67" t="s">
        <v>38</v>
      </c>
      <c r="C81" s="53" t="s">
        <v>12</v>
      </c>
      <c r="D81" s="53" t="s">
        <v>46</v>
      </c>
      <c r="E81" s="54">
        <v>78245</v>
      </c>
      <c r="F81" s="55">
        <v>42554</v>
      </c>
      <c r="G81" s="56">
        <v>2</v>
      </c>
      <c r="H81" s="152" t="s">
        <v>12</v>
      </c>
      <c r="I81" s="155"/>
      <c r="J81" s="156"/>
      <c r="K81" s="154"/>
      <c r="L81" s="154"/>
      <c r="M81" s="154"/>
      <c r="N81" s="157"/>
      <c r="O81" s="158"/>
      <c r="P81" s="159"/>
      <c r="Q81" s="154"/>
      <c r="R81" s="154"/>
    </row>
    <row r="82" spans="1:18">
      <c r="A82" s="52" t="s">
        <v>173</v>
      </c>
      <c r="B82" s="53" t="s">
        <v>40</v>
      </c>
      <c r="C82" s="53" t="s">
        <v>25</v>
      </c>
      <c r="D82" s="53" t="s">
        <v>26</v>
      </c>
      <c r="E82" s="54">
        <v>66079</v>
      </c>
      <c r="F82" s="55">
        <v>42561</v>
      </c>
      <c r="G82" s="56">
        <v>2</v>
      </c>
      <c r="H82" s="152" t="s">
        <v>18</v>
      </c>
      <c r="I82" s="155"/>
      <c r="J82" s="156"/>
      <c r="K82" s="154"/>
      <c r="L82" s="154"/>
      <c r="M82" s="154"/>
      <c r="N82" s="157"/>
      <c r="O82" s="158"/>
      <c r="P82" s="159"/>
      <c r="Q82" s="154"/>
      <c r="R82" s="154"/>
    </row>
    <row r="83" spans="1:18">
      <c r="A83" s="52" t="s">
        <v>175</v>
      </c>
      <c r="B83" s="53" t="s">
        <v>15</v>
      </c>
      <c r="C83" s="53" t="s">
        <v>41</v>
      </c>
      <c r="D83" s="53" t="s">
        <v>34</v>
      </c>
      <c r="E83" s="54">
        <v>63575.515151515152</v>
      </c>
      <c r="F83" s="55" t="s">
        <v>12</v>
      </c>
      <c r="G83" s="56">
        <v>2.9649122807017543</v>
      </c>
      <c r="H83" s="152" t="s">
        <v>12</v>
      </c>
      <c r="I83" s="155"/>
      <c r="J83" s="156"/>
      <c r="K83" s="154"/>
      <c r="L83" s="154"/>
      <c r="M83" s="154"/>
      <c r="N83" s="157"/>
      <c r="O83" s="158"/>
      <c r="P83" s="159"/>
      <c r="Q83" s="154"/>
      <c r="R83" s="154"/>
    </row>
    <row r="84" spans="1:18">
      <c r="A84" s="52" t="s">
        <v>176</v>
      </c>
      <c r="B84" s="53" t="s">
        <v>30</v>
      </c>
      <c r="C84" s="53" t="s">
        <v>25</v>
      </c>
      <c r="D84" s="53" t="s">
        <v>26</v>
      </c>
      <c r="E84" s="54">
        <v>95621</v>
      </c>
      <c r="F84" s="55">
        <v>42575</v>
      </c>
      <c r="G84" s="56">
        <v>3</v>
      </c>
      <c r="H84" s="152" t="s">
        <v>35</v>
      </c>
      <c r="I84" s="155"/>
      <c r="J84" s="156"/>
      <c r="K84" s="154"/>
      <c r="L84" s="154"/>
      <c r="M84" s="154"/>
      <c r="N84" s="157"/>
      <c r="O84" s="158"/>
      <c r="P84" s="159"/>
      <c r="Q84" s="154"/>
      <c r="R84" s="154"/>
    </row>
    <row r="85" spans="1:18">
      <c r="A85" s="52" t="s">
        <v>178</v>
      </c>
      <c r="B85" s="53" t="s">
        <v>15</v>
      </c>
      <c r="C85" s="53" t="s">
        <v>33</v>
      </c>
      <c r="D85" s="53" t="s">
        <v>46</v>
      </c>
      <c r="E85" s="54">
        <v>42262</v>
      </c>
      <c r="F85" s="55">
        <v>42582</v>
      </c>
      <c r="G85" s="56">
        <v>1</v>
      </c>
      <c r="H85" s="152" t="s">
        <v>12</v>
      </c>
      <c r="I85" s="155"/>
      <c r="J85" s="156"/>
      <c r="K85" s="154"/>
      <c r="L85" s="154"/>
      <c r="M85" s="154"/>
      <c r="N85" s="157"/>
      <c r="O85" s="158"/>
      <c r="P85" s="159"/>
      <c r="Q85" s="154"/>
      <c r="R85" s="154"/>
    </row>
    <row r="86" spans="1:18">
      <c r="A86" s="52" t="s">
        <v>180</v>
      </c>
      <c r="B86" s="53" t="s">
        <v>38</v>
      </c>
      <c r="C86" s="53" t="s">
        <v>25</v>
      </c>
      <c r="D86" s="53" t="s">
        <v>34</v>
      </c>
      <c r="E86" s="54">
        <v>99621</v>
      </c>
      <c r="F86" s="55">
        <v>42589</v>
      </c>
      <c r="G86" s="56">
        <v>3</v>
      </c>
      <c r="H86" s="152" t="s">
        <v>18</v>
      </c>
      <c r="I86" s="155"/>
      <c r="J86" s="156"/>
      <c r="K86" s="154"/>
      <c r="L86" s="154"/>
      <c r="M86" s="154"/>
      <c r="N86" s="157"/>
      <c r="O86" s="158"/>
      <c r="P86" s="159"/>
      <c r="Q86" s="154"/>
      <c r="R86" s="154"/>
    </row>
    <row r="87" spans="1:18">
      <c r="A87" s="52" t="s">
        <v>182</v>
      </c>
      <c r="B87" s="53" t="s">
        <v>24</v>
      </c>
      <c r="C87" s="53" t="s">
        <v>41</v>
      </c>
      <c r="D87" s="53" t="s">
        <v>34</v>
      </c>
      <c r="E87" s="54">
        <v>44682</v>
      </c>
      <c r="F87" s="55">
        <v>42596</v>
      </c>
      <c r="G87" s="56">
        <v>4</v>
      </c>
      <c r="H87" s="152" t="s">
        <v>35</v>
      </c>
      <c r="I87" s="155"/>
      <c r="J87" s="156"/>
      <c r="K87" s="154"/>
      <c r="L87" s="154"/>
      <c r="M87" s="154"/>
      <c r="N87" s="157"/>
      <c r="O87" s="158"/>
      <c r="P87" s="159"/>
      <c r="Q87" s="154"/>
      <c r="R87" s="154"/>
    </row>
    <row r="88" spans="1:18">
      <c r="A88" s="52" t="s">
        <v>183</v>
      </c>
      <c r="B88" s="53" t="s">
        <v>40</v>
      </c>
      <c r="C88" s="53" t="s">
        <v>10</v>
      </c>
      <c r="D88" s="53" t="s">
        <v>12</v>
      </c>
      <c r="E88" s="54">
        <v>35163</v>
      </c>
      <c r="F88" s="55">
        <v>42603</v>
      </c>
      <c r="G88" s="56">
        <v>5</v>
      </c>
      <c r="H88" s="152" t="s">
        <v>18</v>
      </c>
      <c r="I88" s="155"/>
      <c r="J88" s="156"/>
      <c r="K88" s="154"/>
      <c r="L88" s="154"/>
      <c r="M88" s="154"/>
      <c r="N88" s="157"/>
      <c r="O88" s="158"/>
      <c r="P88" s="159"/>
      <c r="Q88" s="154"/>
      <c r="R88" s="154"/>
    </row>
    <row r="89" spans="1:18">
      <c r="A89" s="52" t="s">
        <v>185</v>
      </c>
      <c r="B89" s="53" t="s">
        <v>40</v>
      </c>
      <c r="C89" s="53" t="s">
        <v>33</v>
      </c>
      <c r="D89" s="53" t="s">
        <v>34</v>
      </c>
      <c r="E89" s="54">
        <v>33483</v>
      </c>
      <c r="F89" s="55">
        <v>42610</v>
      </c>
      <c r="G89" s="56">
        <v>4</v>
      </c>
      <c r="H89" s="152" t="s">
        <v>27</v>
      </c>
      <c r="I89" s="155"/>
      <c r="J89" s="156"/>
      <c r="K89" s="154"/>
      <c r="L89" s="154"/>
      <c r="M89" s="154"/>
      <c r="N89" s="157"/>
      <c r="O89" s="158"/>
      <c r="P89" s="159"/>
      <c r="Q89" s="154"/>
      <c r="R89" s="154"/>
    </row>
    <row r="90" spans="1:18">
      <c r="A90" s="52" t="s">
        <v>187</v>
      </c>
      <c r="B90" s="53" t="s">
        <v>38</v>
      </c>
      <c r="C90" s="53" t="s">
        <v>16</v>
      </c>
      <c r="D90" s="53" t="s">
        <v>17</v>
      </c>
      <c r="E90" s="54">
        <v>55303</v>
      </c>
      <c r="F90" s="55">
        <v>42617</v>
      </c>
      <c r="G90" s="56">
        <v>4</v>
      </c>
      <c r="H90" s="152" t="s">
        <v>27</v>
      </c>
      <c r="I90" s="155"/>
      <c r="J90" s="156"/>
      <c r="K90" s="154"/>
      <c r="L90" s="154"/>
      <c r="M90" s="154"/>
      <c r="N90" s="157"/>
      <c r="O90" s="158"/>
      <c r="P90" s="159"/>
      <c r="Q90" s="154"/>
      <c r="R90" s="154"/>
    </row>
    <row r="91" spans="1:18">
      <c r="A91" s="52" t="s">
        <v>188</v>
      </c>
      <c r="B91" s="53" t="s">
        <v>40</v>
      </c>
      <c r="C91" s="53" t="s">
        <v>33</v>
      </c>
      <c r="D91" s="53" t="s">
        <v>12</v>
      </c>
      <c r="E91" s="54">
        <v>63434</v>
      </c>
      <c r="F91" s="55">
        <v>42624</v>
      </c>
      <c r="G91" s="56">
        <v>3</v>
      </c>
      <c r="H91" s="152" t="s">
        <v>12</v>
      </c>
      <c r="I91" s="155"/>
      <c r="J91" s="156"/>
      <c r="K91" s="154"/>
      <c r="L91" s="154"/>
      <c r="M91" s="154"/>
      <c r="N91" s="157"/>
      <c r="O91" s="158"/>
      <c r="P91" s="159"/>
      <c r="Q91" s="154"/>
      <c r="R91" s="154"/>
    </row>
    <row r="92" spans="1:18">
      <c r="A92" s="52" t="s">
        <v>190</v>
      </c>
      <c r="B92" s="67" t="s">
        <v>30</v>
      </c>
      <c r="C92" s="53" t="s">
        <v>12</v>
      </c>
      <c r="D92" s="53" t="s">
        <v>63</v>
      </c>
      <c r="E92" s="54">
        <v>38830</v>
      </c>
      <c r="F92" s="55">
        <v>42631</v>
      </c>
      <c r="G92" s="56">
        <v>3</v>
      </c>
      <c r="H92" s="152" t="s">
        <v>18</v>
      </c>
      <c r="I92" s="155"/>
      <c r="J92" s="156"/>
      <c r="K92" s="154"/>
      <c r="L92" s="154"/>
      <c r="M92" s="154"/>
      <c r="N92" s="157"/>
      <c r="O92" s="158"/>
      <c r="P92" s="159"/>
      <c r="Q92" s="154"/>
      <c r="R92" s="154"/>
    </row>
    <row r="93" spans="1:18">
      <c r="A93" s="52" t="s">
        <v>191</v>
      </c>
      <c r="B93" s="53" t="s">
        <v>12</v>
      </c>
      <c r="C93" s="53" t="s">
        <v>41</v>
      </c>
      <c r="D93" s="53" t="s">
        <v>46</v>
      </c>
      <c r="E93" s="54">
        <v>50741</v>
      </c>
      <c r="F93" s="55">
        <v>42638</v>
      </c>
      <c r="G93" s="56">
        <v>3</v>
      </c>
      <c r="H93" s="152" t="s">
        <v>12</v>
      </c>
      <c r="I93" s="155"/>
      <c r="J93" s="156"/>
      <c r="K93" s="154"/>
      <c r="L93" s="154"/>
      <c r="M93" s="154"/>
      <c r="N93" s="157"/>
      <c r="O93" s="158"/>
      <c r="P93" s="159"/>
      <c r="Q93" s="154"/>
      <c r="R93" s="154"/>
    </row>
    <row r="94" spans="1:18">
      <c r="A94" s="52" t="s">
        <v>192</v>
      </c>
      <c r="B94" s="53" t="s">
        <v>21</v>
      </c>
      <c r="C94" s="53" t="s">
        <v>16</v>
      </c>
      <c r="D94" s="53" t="s">
        <v>63</v>
      </c>
      <c r="E94" s="54">
        <v>69420</v>
      </c>
      <c r="F94" s="55">
        <v>42645</v>
      </c>
      <c r="G94" s="56">
        <v>1</v>
      </c>
      <c r="H94" s="152" t="s">
        <v>27</v>
      </c>
      <c r="I94" s="155"/>
      <c r="J94" s="156"/>
      <c r="K94" s="154"/>
      <c r="L94" s="154"/>
      <c r="M94" s="154"/>
      <c r="N94" s="157"/>
      <c r="O94" s="158"/>
      <c r="P94" s="159"/>
      <c r="Q94" s="154"/>
      <c r="R94" s="154"/>
    </row>
    <row r="95" spans="1:18">
      <c r="A95" s="52" t="s">
        <v>193</v>
      </c>
      <c r="B95" s="53" t="s">
        <v>30</v>
      </c>
      <c r="C95" s="53" t="s">
        <v>33</v>
      </c>
      <c r="D95" s="53" t="s">
        <v>12</v>
      </c>
      <c r="E95" s="54">
        <v>80588</v>
      </c>
      <c r="F95" s="55">
        <v>42652</v>
      </c>
      <c r="G95" s="56">
        <v>5</v>
      </c>
      <c r="H95" s="152" t="s">
        <v>27</v>
      </c>
      <c r="I95" s="155"/>
      <c r="J95" s="156"/>
      <c r="K95" s="154"/>
      <c r="L95" s="154"/>
      <c r="M95" s="154"/>
      <c r="N95" s="157"/>
      <c r="O95" s="158"/>
      <c r="P95" s="159"/>
      <c r="Q95" s="154"/>
      <c r="R95" s="154"/>
    </row>
    <row r="96" spans="1:18">
      <c r="A96" s="52" t="s">
        <v>194</v>
      </c>
      <c r="B96" s="67" t="s">
        <v>21</v>
      </c>
      <c r="C96" s="53" t="s">
        <v>12</v>
      </c>
      <c r="D96" s="53" t="s">
        <v>26</v>
      </c>
      <c r="E96" s="54">
        <v>76238</v>
      </c>
      <c r="F96" s="55">
        <v>42659</v>
      </c>
      <c r="G96" s="56">
        <v>4</v>
      </c>
      <c r="H96" s="152" t="s">
        <v>27</v>
      </c>
      <c r="I96" s="155"/>
      <c r="J96" s="156"/>
      <c r="K96" s="154"/>
      <c r="L96" s="154"/>
      <c r="M96" s="154"/>
      <c r="N96" s="157"/>
      <c r="O96" s="158"/>
      <c r="P96" s="159"/>
      <c r="Q96" s="154"/>
      <c r="R96" s="154"/>
    </row>
    <row r="97" spans="1:18">
      <c r="A97" s="52" t="s">
        <v>196</v>
      </c>
      <c r="B97" s="53" t="s">
        <v>53</v>
      </c>
      <c r="C97" s="53" t="s">
        <v>33</v>
      </c>
      <c r="D97" s="53" t="s">
        <v>34</v>
      </c>
      <c r="E97" s="54">
        <v>33264</v>
      </c>
      <c r="F97" s="55">
        <v>42666</v>
      </c>
      <c r="G97" s="56">
        <v>2.8666666666666667</v>
      </c>
      <c r="H97" s="152" t="s">
        <v>35</v>
      </c>
      <c r="I97" s="155"/>
      <c r="J97" s="156"/>
      <c r="K97" s="154"/>
      <c r="L97" s="154"/>
      <c r="M97" s="154"/>
      <c r="N97" s="157"/>
      <c r="O97" s="158"/>
      <c r="P97" s="159"/>
      <c r="Q97" s="154"/>
      <c r="R97" s="154"/>
    </row>
    <row r="98" spans="1:18">
      <c r="A98" s="52" t="s">
        <v>198</v>
      </c>
      <c r="B98" s="53" t="s">
        <v>21</v>
      </c>
      <c r="C98" s="53" t="s">
        <v>10</v>
      </c>
      <c r="D98" s="53" t="s">
        <v>63</v>
      </c>
      <c r="E98" s="54">
        <v>96101</v>
      </c>
      <c r="F98" s="55">
        <v>42673</v>
      </c>
      <c r="G98" s="56">
        <v>2.8666666666666667</v>
      </c>
      <c r="H98" s="152" t="s">
        <v>18</v>
      </c>
      <c r="I98" s="155"/>
      <c r="J98" s="156"/>
      <c r="K98" s="154"/>
      <c r="L98" s="154"/>
      <c r="M98" s="154"/>
      <c r="N98" s="157"/>
      <c r="O98" s="158"/>
      <c r="P98" s="159"/>
      <c r="Q98" s="154"/>
      <c r="R98" s="154"/>
    </row>
    <row r="99" spans="1:18">
      <c r="A99" s="52" t="s">
        <v>200</v>
      </c>
      <c r="B99" s="53" t="s">
        <v>30</v>
      </c>
      <c r="C99" s="53" t="s">
        <v>10</v>
      </c>
      <c r="D99" s="53" t="s">
        <v>26</v>
      </c>
      <c r="E99" s="54">
        <v>72939</v>
      </c>
      <c r="F99" s="55">
        <v>42680</v>
      </c>
      <c r="G99" s="56">
        <v>3</v>
      </c>
      <c r="H99" s="152" t="s">
        <v>12</v>
      </c>
      <c r="I99" s="155"/>
      <c r="J99" s="156"/>
      <c r="K99" s="154"/>
      <c r="L99" s="154"/>
      <c r="M99" s="154"/>
      <c r="N99" s="157"/>
      <c r="O99" s="158"/>
      <c r="P99" s="159"/>
      <c r="Q99" s="154"/>
      <c r="R99" s="154"/>
    </row>
    <row r="100" spans="1:18">
      <c r="A100" s="52" t="s">
        <v>202</v>
      </c>
      <c r="B100" s="53" t="s">
        <v>38</v>
      </c>
      <c r="C100" s="53" t="s">
        <v>16</v>
      </c>
      <c r="D100" s="53" t="s">
        <v>17</v>
      </c>
      <c r="E100" s="54">
        <v>89333</v>
      </c>
      <c r="F100" s="55">
        <v>42687</v>
      </c>
      <c r="G100" s="56">
        <v>1</v>
      </c>
      <c r="H100" s="152" t="s">
        <v>27</v>
      </c>
      <c r="I100" s="155"/>
      <c r="J100" s="156"/>
      <c r="K100" s="154"/>
      <c r="L100" s="154"/>
      <c r="M100" s="154"/>
      <c r="N100" s="157"/>
      <c r="O100" s="158"/>
      <c r="P100" s="159"/>
      <c r="Q100" s="154"/>
      <c r="R100" s="154"/>
    </row>
    <row r="101" spans="1:18">
      <c r="A101" s="52" t="s">
        <v>204</v>
      </c>
      <c r="B101" s="53" t="s">
        <v>53</v>
      </c>
      <c r="C101" s="53" t="s">
        <v>33</v>
      </c>
      <c r="D101" s="53" t="s">
        <v>63</v>
      </c>
      <c r="E101" s="54">
        <v>70470</v>
      </c>
      <c r="F101" s="55">
        <v>42694</v>
      </c>
      <c r="G101" s="56">
        <v>2.9069767441860463</v>
      </c>
      <c r="H101" s="152" t="s">
        <v>27</v>
      </c>
      <c r="I101" s="155"/>
      <c r="J101" s="156"/>
      <c r="K101" s="154"/>
      <c r="L101" s="154"/>
      <c r="M101" s="154"/>
      <c r="N101" s="157"/>
      <c r="O101" s="158"/>
      <c r="P101" s="159"/>
      <c r="Q101" s="154"/>
      <c r="R101" s="154"/>
    </row>
    <row r="102" spans="1:18">
      <c r="A102" s="52" t="s">
        <v>206</v>
      </c>
      <c r="B102" s="53" t="s">
        <v>15</v>
      </c>
      <c r="C102" s="53" t="s">
        <v>41</v>
      </c>
      <c r="D102" s="53" t="s">
        <v>26</v>
      </c>
      <c r="E102" s="54">
        <v>70096</v>
      </c>
      <c r="F102" s="55">
        <v>42701</v>
      </c>
      <c r="G102" s="56">
        <v>4</v>
      </c>
      <c r="H102" s="152" t="s">
        <v>27</v>
      </c>
      <c r="I102" s="155"/>
      <c r="J102" s="156"/>
      <c r="K102" s="154"/>
      <c r="L102" s="154"/>
      <c r="M102" s="154"/>
      <c r="N102" s="157"/>
      <c r="O102" s="158"/>
      <c r="P102" s="159"/>
      <c r="Q102" s="154"/>
      <c r="R102" s="154"/>
    </row>
    <row r="103" spans="1:18">
      <c r="A103" s="52" t="s">
        <v>208</v>
      </c>
      <c r="B103" s="53" t="s">
        <v>53</v>
      </c>
      <c r="C103" s="53" t="s">
        <v>41</v>
      </c>
      <c r="D103" s="53" t="s">
        <v>12</v>
      </c>
      <c r="E103" s="54">
        <v>63370.106382978724</v>
      </c>
      <c r="F103" s="55">
        <v>42708</v>
      </c>
      <c r="G103" s="56">
        <v>2</v>
      </c>
      <c r="H103" s="152" t="s">
        <v>18</v>
      </c>
      <c r="I103" s="155"/>
      <c r="J103" s="156"/>
      <c r="K103" s="154"/>
      <c r="L103" s="154"/>
      <c r="M103" s="154"/>
      <c r="N103" s="157"/>
      <c r="O103" s="158"/>
      <c r="P103" s="159"/>
      <c r="Q103" s="154"/>
      <c r="R103" s="154"/>
    </row>
    <row r="104" spans="1:18">
      <c r="A104" s="52" t="s">
        <v>210</v>
      </c>
      <c r="B104" s="53" t="s">
        <v>53</v>
      </c>
      <c r="C104" s="53" t="s">
        <v>33</v>
      </c>
      <c r="D104" s="53" t="s">
        <v>17</v>
      </c>
      <c r="E104" s="54">
        <v>66503</v>
      </c>
      <c r="F104" s="55">
        <v>42715</v>
      </c>
      <c r="G104" s="56">
        <v>2.9024390243902438</v>
      </c>
      <c r="H104" s="152" t="s">
        <v>27</v>
      </c>
      <c r="I104" s="155"/>
      <c r="J104" s="156"/>
      <c r="K104" s="154"/>
      <c r="L104" s="154"/>
      <c r="M104" s="154"/>
      <c r="N104" s="157"/>
      <c r="O104" s="158"/>
      <c r="P104" s="159"/>
      <c r="Q104" s="154"/>
      <c r="R104" s="154"/>
    </row>
    <row r="105" spans="1:18">
      <c r="A105" s="52" t="s">
        <v>211</v>
      </c>
      <c r="B105" s="53" t="s">
        <v>21</v>
      </c>
      <c r="C105" s="53" t="s">
        <v>16</v>
      </c>
      <c r="D105" s="53" t="s">
        <v>17</v>
      </c>
      <c r="E105" s="54">
        <v>42096</v>
      </c>
      <c r="F105" s="55">
        <v>42722</v>
      </c>
      <c r="G105" s="56">
        <v>2.9024390243902438</v>
      </c>
      <c r="H105" s="152" t="s">
        <v>35</v>
      </c>
      <c r="I105" s="155"/>
      <c r="J105" s="156"/>
      <c r="K105" s="154"/>
      <c r="L105" s="154"/>
      <c r="M105" s="154"/>
      <c r="N105" s="157"/>
      <c r="O105" s="158"/>
      <c r="P105" s="159"/>
      <c r="Q105" s="154"/>
      <c r="R105" s="154"/>
    </row>
    <row r="106" spans="1:18">
      <c r="A106" s="52" t="s">
        <v>213</v>
      </c>
      <c r="B106" s="53" t="s">
        <v>21</v>
      </c>
      <c r="C106" s="67" t="s">
        <v>41</v>
      </c>
      <c r="D106" s="53" t="s">
        <v>12</v>
      </c>
      <c r="E106" s="54">
        <v>79145</v>
      </c>
      <c r="F106" s="55">
        <v>42729</v>
      </c>
      <c r="G106" s="56">
        <v>5</v>
      </c>
      <c r="H106" s="152" t="s">
        <v>18</v>
      </c>
      <c r="I106" s="155"/>
      <c r="J106" s="156"/>
      <c r="K106" s="154"/>
      <c r="L106" s="154"/>
      <c r="M106" s="154"/>
      <c r="N106" s="157"/>
      <c r="O106" s="158"/>
      <c r="P106" s="159"/>
      <c r="Q106" s="154"/>
      <c r="R106" s="154"/>
    </row>
    <row r="107" spans="1:18">
      <c r="A107" s="52" t="s">
        <v>214</v>
      </c>
      <c r="B107" s="67" t="s">
        <v>30</v>
      </c>
      <c r="C107" s="53" t="s">
        <v>12</v>
      </c>
      <c r="D107" s="53" t="s">
        <v>63</v>
      </c>
      <c r="E107" s="54">
        <v>61556</v>
      </c>
      <c r="F107" s="55">
        <v>42736</v>
      </c>
      <c r="G107" s="56">
        <v>1</v>
      </c>
      <c r="H107" s="152" t="s">
        <v>12</v>
      </c>
      <c r="I107" s="155"/>
      <c r="J107" s="156"/>
      <c r="K107" s="154"/>
      <c r="L107" s="154"/>
      <c r="M107" s="154"/>
      <c r="N107" s="157"/>
      <c r="O107" s="158"/>
      <c r="P107" s="159"/>
      <c r="Q107" s="154"/>
      <c r="R107" s="154"/>
    </row>
    <row r="108" spans="1:18">
      <c r="A108" s="52" t="s">
        <v>215</v>
      </c>
      <c r="B108" s="53" t="s">
        <v>12</v>
      </c>
      <c r="C108" s="53" t="s">
        <v>16</v>
      </c>
      <c r="D108" s="53" t="s">
        <v>46</v>
      </c>
      <c r="E108" s="54">
        <v>87963</v>
      </c>
      <c r="F108" s="55">
        <v>42743</v>
      </c>
      <c r="G108" s="56">
        <v>3</v>
      </c>
      <c r="H108" s="152" t="s">
        <v>18</v>
      </c>
      <c r="I108" s="155"/>
      <c r="J108" s="156"/>
      <c r="K108" s="154"/>
      <c r="L108" s="154"/>
      <c r="M108" s="154"/>
      <c r="N108" s="157"/>
      <c r="O108" s="158"/>
      <c r="P108" s="159"/>
      <c r="Q108" s="154"/>
      <c r="R108" s="154"/>
    </row>
    <row r="109" spans="1:18">
      <c r="A109" s="52" t="s">
        <v>216</v>
      </c>
      <c r="B109" s="53" t="s">
        <v>15</v>
      </c>
      <c r="C109" s="53" t="s">
        <v>33</v>
      </c>
      <c r="D109" s="53" t="s">
        <v>12</v>
      </c>
      <c r="E109" s="54">
        <v>48325</v>
      </c>
      <c r="F109" s="55">
        <v>42750</v>
      </c>
      <c r="G109" s="56">
        <v>2.8947368421052633</v>
      </c>
      <c r="H109" s="152" t="s">
        <v>27</v>
      </c>
      <c r="I109" s="155"/>
      <c r="J109" s="156"/>
      <c r="K109" s="154"/>
      <c r="L109" s="154"/>
      <c r="M109" s="154"/>
      <c r="N109" s="157"/>
      <c r="O109" s="158"/>
      <c r="P109" s="159"/>
      <c r="Q109" s="154"/>
      <c r="R109" s="154"/>
    </row>
    <row r="110" spans="1:18">
      <c r="A110" s="52" t="s">
        <v>218</v>
      </c>
      <c r="B110" s="53" t="s">
        <v>38</v>
      </c>
      <c r="C110" s="53" t="s">
        <v>41</v>
      </c>
      <c r="D110" s="53" t="s">
        <v>63</v>
      </c>
      <c r="E110" s="54">
        <v>86412</v>
      </c>
      <c r="F110" s="55">
        <v>42757</v>
      </c>
      <c r="G110" s="56">
        <v>2</v>
      </c>
      <c r="H110" s="152" t="s">
        <v>35</v>
      </c>
      <c r="I110" s="155"/>
      <c r="J110" s="156"/>
      <c r="K110" s="154"/>
      <c r="L110" s="154"/>
      <c r="M110" s="154"/>
      <c r="N110" s="157"/>
      <c r="O110" s="158"/>
      <c r="P110" s="159"/>
      <c r="Q110" s="154"/>
      <c r="R110" s="154"/>
    </row>
    <row r="111" spans="1:18">
      <c r="A111" s="52" t="s">
        <v>219</v>
      </c>
      <c r="B111" s="53" t="s">
        <v>38</v>
      </c>
      <c r="C111" s="53" t="s">
        <v>16</v>
      </c>
      <c r="D111" s="53" t="s">
        <v>12</v>
      </c>
      <c r="E111" s="54">
        <v>66761</v>
      </c>
      <c r="F111" s="55">
        <v>42764</v>
      </c>
      <c r="G111" s="56">
        <v>1</v>
      </c>
      <c r="H111" s="152" t="s">
        <v>12</v>
      </c>
      <c r="I111" s="155"/>
      <c r="J111" s="156"/>
      <c r="K111" s="154"/>
      <c r="L111" s="154"/>
      <c r="M111" s="154"/>
      <c r="N111" s="157"/>
      <c r="O111" s="158"/>
      <c r="P111" s="159"/>
      <c r="Q111" s="154"/>
      <c r="R111" s="154"/>
    </row>
    <row r="112" spans="1:18">
      <c r="A112" s="52" t="s">
        <v>221</v>
      </c>
      <c r="B112" s="67" t="s">
        <v>30</v>
      </c>
      <c r="C112" s="53" t="s">
        <v>12</v>
      </c>
      <c r="D112" s="53" t="s">
        <v>34</v>
      </c>
      <c r="E112" s="54">
        <v>88850</v>
      </c>
      <c r="F112" s="55">
        <v>42771</v>
      </c>
      <c r="G112" s="56">
        <v>1</v>
      </c>
      <c r="H112" s="152" t="s">
        <v>35</v>
      </c>
      <c r="I112" s="155"/>
      <c r="J112" s="156"/>
      <c r="K112" s="154"/>
      <c r="L112" s="154"/>
      <c r="M112" s="154"/>
      <c r="N112" s="157"/>
      <c r="O112" s="158"/>
      <c r="P112" s="159"/>
      <c r="Q112" s="154"/>
      <c r="R112" s="154"/>
    </row>
    <row r="113" spans="1:18">
      <c r="A113" s="52" t="s">
        <v>223</v>
      </c>
      <c r="B113" s="53" t="s">
        <v>40</v>
      </c>
      <c r="C113" s="53" t="s">
        <v>25</v>
      </c>
      <c r="D113" s="53" t="s">
        <v>34</v>
      </c>
      <c r="E113" s="54">
        <v>31293</v>
      </c>
      <c r="F113" s="55" t="s">
        <v>12</v>
      </c>
      <c r="G113" s="56">
        <v>2</v>
      </c>
      <c r="H113" s="152" t="s">
        <v>35</v>
      </c>
      <c r="I113" s="155"/>
      <c r="J113" s="156"/>
      <c r="K113" s="154"/>
      <c r="L113" s="154"/>
      <c r="M113" s="154"/>
      <c r="N113" s="157"/>
      <c r="O113" s="158"/>
      <c r="P113" s="159"/>
      <c r="Q113" s="154"/>
      <c r="R113" s="154"/>
    </row>
    <row r="114" spans="1:18">
      <c r="A114" s="52" t="s">
        <v>225</v>
      </c>
      <c r="B114" s="53" t="s">
        <v>40</v>
      </c>
      <c r="C114" s="53" t="s">
        <v>33</v>
      </c>
      <c r="D114" s="53" t="s">
        <v>26</v>
      </c>
      <c r="E114" s="54">
        <v>34306</v>
      </c>
      <c r="F114" s="55">
        <v>42785</v>
      </c>
      <c r="G114" s="56">
        <v>5</v>
      </c>
      <c r="H114" s="152" t="s">
        <v>35</v>
      </c>
      <c r="I114" s="155"/>
      <c r="J114" s="156"/>
      <c r="K114" s="154"/>
      <c r="L114" s="154"/>
      <c r="M114" s="154"/>
      <c r="N114" s="157"/>
      <c r="O114" s="158"/>
      <c r="P114" s="159"/>
      <c r="Q114" s="154"/>
      <c r="R114" s="154"/>
    </row>
    <row r="115" spans="1:18">
      <c r="A115" s="52" t="s">
        <v>226</v>
      </c>
      <c r="B115" s="53" t="s">
        <v>15</v>
      </c>
      <c r="C115" s="53" t="s">
        <v>10</v>
      </c>
      <c r="D115" s="53" t="s">
        <v>34</v>
      </c>
      <c r="E115" s="54">
        <v>78330</v>
      </c>
      <c r="F115" s="55">
        <v>42792</v>
      </c>
      <c r="G115" s="56">
        <v>3</v>
      </c>
      <c r="H115" s="152" t="s">
        <v>18</v>
      </c>
      <c r="I115" s="155"/>
      <c r="J115" s="156"/>
      <c r="K115" s="154"/>
      <c r="L115" s="154"/>
      <c r="M115" s="154"/>
      <c r="N115" s="157"/>
      <c r="O115" s="158"/>
      <c r="P115" s="159"/>
      <c r="Q115" s="154"/>
      <c r="R115" s="154"/>
    </row>
    <row r="116" spans="1:18">
      <c r="A116" s="52" t="s">
        <v>227</v>
      </c>
      <c r="B116" s="53" t="s">
        <v>21</v>
      </c>
      <c r="C116" s="53" t="s">
        <v>33</v>
      </c>
      <c r="D116" s="53" t="s">
        <v>26</v>
      </c>
      <c r="E116" s="54">
        <v>47653</v>
      </c>
      <c r="F116" s="55">
        <v>42799</v>
      </c>
      <c r="G116" s="56">
        <v>1</v>
      </c>
      <c r="H116" s="152" t="s">
        <v>27</v>
      </c>
      <c r="I116" s="155"/>
      <c r="J116" s="156"/>
      <c r="K116" s="154"/>
      <c r="L116" s="154"/>
      <c r="M116" s="154"/>
      <c r="N116" s="157"/>
      <c r="O116" s="158"/>
      <c r="P116" s="159"/>
      <c r="Q116" s="154"/>
      <c r="R116" s="154"/>
    </row>
    <row r="117" spans="1:18">
      <c r="A117" s="52" t="s">
        <v>229</v>
      </c>
      <c r="B117" s="53" t="s">
        <v>15</v>
      </c>
      <c r="C117" s="53" t="s">
        <v>41</v>
      </c>
      <c r="D117" s="53" t="s">
        <v>46</v>
      </c>
      <c r="E117" s="54">
        <v>44627</v>
      </c>
      <c r="F117" s="55">
        <v>42806</v>
      </c>
      <c r="G117" s="56">
        <v>4</v>
      </c>
      <c r="H117" s="152" t="s">
        <v>12</v>
      </c>
      <c r="I117" s="155"/>
      <c r="J117" s="156"/>
      <c r="K117" s="154"/>
      <c r="L117" s="154"/>
      <c r="M117" s="154"/>
      <c r="N117" s="157"/>
      <c r="O117" s="158"/>
      <c r="P117" s="159"/>
      <c r="Q117" s="154"/>
      <c r="R117" s="154"/>
    </row>
    <row r="118" spans="1:18">
      <c r="A118" s="52" t="s">
        <v>230</v>
      </c>
      <c r="B118" s="53" t="s">
        <v>53</v>
      </c>
      <c r="C118" s="53" t="s">
        <v>16</v>
      </c>
      <c r="D118" s="53" t="s">
        <v>17</v>
      </c>
      <c r="E118" s="54">
        <v>92343</v>
      </c>
      <c r="F118" s="55">
        <v>42813</v>
      </c>
      <c r="G118" s="56">
        <v>4</v>
      </c>
      <c r="H118" s="152" t="s">
        <v>35</v>
      </c>
      <c r="I118" s="155"/>
      <c r="J118" s="156"/>
      <c r="K118" s="154"/>
      <c r="L118" s="154"/>
      <c r="M118" s="154"/>
      <c r="N118" s="157"/>
      <c r="O118" s="158"/>
      <c r="P118" s="159"/>
      <c r="Q118" s="154"/>
      <c r="R118" s="154"/>
    </row>
    <row r="119" spans="1:18">
      <c r="A119" s="52" t="s">
        <v>231</v>
      </c>
      <c r="B119" s="53" t="s">
        <v>53</v>
      </c>
      <c r="C119" s="53" t="s">
        <v>41</v>
      </c>
      <c r="D119" s="53" t="s">
        <v>63</v>
      </c>
      <c r="E119" s="54">
        <v>38837</v>
      </c>
      <c r="F119" s="55">
        <v>42820</v>
      </c>
      <c r="G119" s="56">
        <v>5</v>
      </c>
      <c r="H119" s="152" t="s">
        <v>35</v>
      </c>
      <c r="I119" s="155"/>
      <c r="J119" s="156"/>
      <c r="K119" s="154"/>
      <c r="L119" s="154"/>
      <c r="M119" s="154"/>
      <c r="N119" s="157"/>
      <c r="O119" s="158"/>
      <c r="P119" s="159"/>
      <c r="Q119" s="154"/>
      <c r="R119" s="154"/>
    </row>
    <row r="120" spans="1:18">
      <c r="A120" s="52" t="s">
        <v>232</v>
      </c>
      <c r="B120" s="53" t="s">
        <v>53</v>
      </c>
      <c r="C120" s="67" t="s">
        <v>41</v>
      </c>
      <c r="D120" s="53" t="s">
        <v>12</v>
      </c>
      <c r="E120" s="54">
        <v>73483</v>
      </c>
      <c r="F120" s="55">
        <v>42827</v>
      </c>
      <c r="G120" s="56">
        <v>1</v>
      </c>
      <c r="H120" s="152" t="s">
        <v>12</v>
      </c>
      <c r="I120" s="155"/>
      <c r="J120" s="156"/>
      <c r="K120" s="154"/>
      <c r="L120" s="154"/>
      <c r="M120" s="154"/>
      <c r="N120" s="157"/>
      <c r="O120" s="158"/>
      <c r="P120" s="159"/>
      <c r="Q120" s="154"/>
      <c r="R120" s="154"/>
    </row>
    <row r="121" spans="1:18">
      <c r="A121" s="52" t="s">
        <v>234</v>
      </c>
      <c r="B121" s="53" t="s">
        <v>40</v>
      </c>
      <c r="C121" s="53" t="s">
        <v>25</v>
      </c>
      <c r="D121" s="53" t="s">
        <v>34</v>
      </c>
      <c r="E121" s="54">
        <v>95032</v>
      </c>
      <c r="F121" s="55">
        <v>42834</v>
      </c>
      <c r="G121" s="56">
        <v>3</v>
      </c>
      <c r="H121" s="152" t="s">
        <v>12</v>
      </c>
      <c r="I121" s="155"/>
      <c r="J121" s="156"/>
      <c r="K121" s="154"/>
      <c r="L121" s="154"/>
      <c r="M121" s="154"/>
      <c r="N121" s="157"/>
      <c r="O121" s="158"/>
      <c r="P121" s="159"/>
      <c r="Q121" s="154"/>
      <c r="R121" s="154"/>
    </row>
    <row r="122" spans="1:18">
      <c r="A122" s="52" t="s">
        <v>236</v>
      </c>
      <c r="B122" s="53" t="s">
        <v>15</v>
      </c>
      <c r="C122" s="53" t="s">
        <v>25</v>
      </c>
      <c r="D122" s="53" t="s">
        <v>63</v>
      </c>
      <c r="E122" s="54">
        <v>44358</v>
      </c>
      <c r="F122" s="55">
        <v>42841</v>
      </c>
      <c r="G122" s="56">
        <v>3</v>
      </c>
      <c r="H122" s="152" t="s">
        <v>35</v>
      </c>
      <c r="I122" s="155"/>
      <c r="J122" s="156"/>
      <c r="K122" s="154"/>
      <c r="L122" s="154"/>
      <c r="M122" s="154"/>
      <c r="N122" s="157"/>
      <c r="O122" s="158"/>
      <c r="P122" s="159"/>
      <c r="Q122" s="154"/>
      <c r="R122" s="154"/>
    </row>
    <row r="123" spans="1:18">
      <c r="A123" s="52" t="s">
        <v>237</v>
      </c>
      <c r="B123" s="53" t="s">
        <v>12</v>
      </c>
      <c r="C123" s="53" t="s">
        <v>33</v>
      </c>
      <c r="D123" s="53" t="s">
        <v>26</v>
      </c>
      <c r="E123" s="54">
        <v>63232.928571428572</v>
      </c>
      <c r="F123" s="55" t="s">
        <v>12</v>
      </c>
      <c r="G123" s="56">
        <v>5</v>
      </c>
      <c r="H123" s="152" t="s">
        <v>12</v>
      </c>
      <c r="I123" s="155"/>
      <c r="J123" s="156"/>
      <c r="K123" s="154"/>
      <c r="L123" s="154"/>
      <c r="M123" s="154"/>
      <c r="N123" s="157"/>
      <c r="O123" s="158"/>
      <c r="P123" s="159"/>
      <c r="Q123" s="154"/>
      <c r="R123" s="154"/>
    </row>
    <row r="124" spans="1:18">
      <c r="A124" s="52" t="s">
        <v>239</v>
      </c>
      <c r="B124" s="53" t="s">
        <v>40</v>
      </c>
      <c r="C124" s="53" t="s">
        <v>25</v>
      </c>
      <c r="D124" s="53" t="s">
        <v>26</v>
      </c>
      <c r="E124" s="54">
        <v>45676</v>
      </c>
      <c r="F124" s="55">
        <v>42855</v>
      </c>
      <c r="G124" s="56">
        <v>2</v>
      </c>
      <c r="H124" s="152" t="s">
        <v>12</v>
      </c>
      <c r="I124" s="155"/>
      <c r="J124" s="156"/>
      <c r="K124" s="154"/>
      <c r="L124" s="154"/>
      <c r="M124" s="154"/>
      <c r="N124" s="157"/>
      <c r="O124" s="158"/>
      <c r="P124" s="159"/>
      <c r="Q124" s="154"/>
      <c r="R124" s="154"/>
    </row>
    <row r="125" spans="1:18">
      <c r="A125" s="52" t="s">
        <v>241</v>
      </c>
      <c r="B125" s="53" t="s">
        <v>53</v>
      </c>
      <c r="C125" s="53" t="s">
        <v>25</v>
      </c>
      <c r="D125" s="53" t="s">
        <v>17</v>
      </c>
      <c r="E125" s="54">
        <v>52036</v>
      </c>
      <c r="F125" s="55">
        <v>42862</v>
      </c>
      <c r="G125" s="56">
        <v>3</v>
      </c>
      <c r="H125" s="152" t="s">
        <v>27</v>
      </c>
      <c r="I125" s="155"/>
      <c r="J125" s="156"/>
      <c r="K125" s="154"/>
      <c r="L125" s="154"/>
      <c r="M125" s="154"/>
      <c r="N125" s="157"/>
      <c r="O125" s="158"/>
      <c r="P125" s="159"/>
      <c r="Q125" s="154"/>
      <c r="R125" s="154"/>
    </row>
    <row r="126" spans="1:18">
      <c r="A126" s="52" t="s">
        <v>243</v>
      </c>
      <c r="B126" s="67" t="s">
        <v>30</v>
      </c>
      <c r="C126" s="53" t="s">
        <v>12</v>
      </c>
      <c r="D126" s="53" t="s">
        <v>17</v>
      </c>
      <c r="E126" s="54">
        <v>30357</v>
      </c>
      <c r="F126" s="55">
        <v>42869</v>
      </c>
      <c r="G126" s="56">
        <v>5</v>
      </c>
      <c r="H126" s="152" t="s">
        <v>27</v>
      </c>
      <c r="I126" s="155"/>
      <c r="J126" s="156"/>
      <c r="K126" s="154"/>
      <c r="L126" s="154"/>
      <c r="M126" s="154"/>
      <c r="N126" s="157"/>
      <c r="O126" s="158"/>
      <c r="P126" s="159"/>
      <c r="Q126" s="154"/>
      <c r="R126" s="154"/>
    </row>
    <row r="127" spans="1:18">
      <c r="A127" s="52" t="s">
        <v>244</v>
      </c>
      <c r="B127" s="53" t="s">
        <v>24</v>
      </c>
      <c r="C127" s="53" t="s">
        <v>33</v>
      </c>
      <c r="D127" s="53" t="s">
        <v>12</v>
      </c>
      <c r="E127" s="54">
        <v>60034</v>
      </c>
      <c r="F127" s="55">
        <v>42876</v>
      </c>
      <c r="G127" s="56">
        <v>1</v>
      </c>
      <c r="H127" s="152" t="s">
        <v>35</v>
      </c>
      <c r="I127" s="155"/>
      <c r="J127" s="156"/>
      <c r="K127" s="154"/>
      <c r="L127" s="154"/>
      <c r="M127" s="154"/>
      <c r="N127" s="157"/>
      <c r="O127" s="158"/>
      <c r="P127" s="159"/>
      <c r="Q127" s="154"/>
      <c r="R127" s="154"/>
    </row>
    <row r="128" spans="1:18">
      <c r="A128" s="52" t="s">
        <v>246</v>
      </c>
      <c r="B128" s="53" t="s">
        <v>24</v>
      </c>
      <c r="C128" s="53" t="s">
        <v>10</v>
      </c>
      <c r="D128" s="53" t="s">
        <v>12</v>
      </c>
      <c r="E128" s="54">
        <v>90019</v>
      </c>
      <c r="F128" s="55">
        <v>42883</v>
      </c>
      <c r="G128" s="56">
        <v>5</v>
      </c>
      <c r="H128" s="152" t="s">
        <v>12</v>
      </c>
      <c r="I128" s="155"/>
      <c r="J128" s="156"/>
      <c r="K128" s="154"/>
      <c r="L128" s="154"/>
      <c r="M128" s="154"/>
      <c r="N128" s="157"/>
      <c r="O128" s="158"/>
      <c r="P128" s="159"/>
      <c r="Q128" s="154"/>
      <c r="R128" s="154"/>
    </row>
    <row r="129" spans="1:18">
      <c r="A129" s="52" t="s">
        <v>248</v>
      </c>
      <c r="B129" s="67" t="s">
        <v>53</v>
      </c>
      <c r="C129" s="53" t="s">
        <v>12</v>
      </c>
      <c r="D129" s="53" t="s">
        <v>17</v>
      </c>
      <c r="E129" s="54">
        <v>71494</v>
      </c>
      <c r="F129" s="55">
        <v>42890</v>
      </c>
      <c r="G129" s="56">
        <v>3</v>
      </c>
      <c r="H129" s="152" t="s">
        <v>27</v>
      </c>
      <c r="I129" s="155"/>
      <c r="J129" s="156"/>
      <c r="K129" s="154"/>
      <c r="L129" s="154"/>
      <c r="M129" s="154"/>
      <c r="N129" s="157"/>
      <c r="O129" s="158"/>
      <c r="P129" s="159"/>
      <c r="Q129" s="154"/>
      <c r="R129" s="154"/>
    </row>
    <row r="130" spans="1:18">
      <c r="A130" s="52" t="s">
        <v>250</v>
      </c>
      <c r="B130" s="53" t="s">
        <v>24</v>
      </c>
      <c r="C130" s="53" t="s">
        <v>10</v>
      </c>
      <c r="D130" s="53" t="s">
        <v>26</v>
      </c>
      <c r="E130" s="54">
        <v>91953</v>
      </c>
      <c r="F130" s="55">
        <v>42897</v>
      </c>
      <c r="G130" s="56">
        <v>2</v>
      </c>
      <c r="H130" s="152" t="s">
        <v>27</v>
      </c>
      <c r="I130" s="155"/>
      <c r="J130" s="156"/>
      <c r="K130" s="154"/>
      <c r="L130" s="154"/>
      <c r="M130" s="154"/>
      <c r="N130" s="157"/>
      <c r="O130" s="158"/>
      <c r="P130" s="159"/>
      <c r="Q130" s="154"/>
      <c r="R130" s="154"/>
    </row>
    <row r="131" spans="1:18">
      <c r="A131" s="52" t="s">
        <v>251</v>
      </c>
      <c r="B131" s="53" t="s">
        <v>40</v>
      </c>
      <c r="C131" s="53" t="s">
        <v>25</v>
      </c>
      <c r="D131" s="53" t="s">
        <v>26</v>
      </c>
      <c r="E131" s="54">
        <v>30402</v>
      </c>
      <c r="F131" s="55">
        <v>42904</v>
      </c>
      <c r="G131" s="56">
        <v>1</v>
      </c>
      <c r="H131" s="152" t="s">
        <v>12</v>
      </c>
      <c r="I131" s="155"/>
      <c r="J131" s="156"/>
      <c r="K131" s="154"/>
      <c r="L131" s="154"/>
      <c r="M131" s="154"/>
      <c r="N131" s="157"/>
      <c r="O131" s="158"/>
      <c r="P131" s="159"/>
      <c r="Q131" s="154"/>
      <c r="R131" s="154"/>
    </row>
    <row r="132" spans="1:18">
      <c r="A132" s="52" t="s">
        <v>253</v>
      </c>
      <c r="B132" s="67" t="s">
        <v>53</v>
      </c>
      <c r="C132" s="53" t="s">
        <v>12</v>
      </c>
      <c r="D132" s="53" t="s">
        <v>46</v>
      </c>
      <c r="E132" s="54">
        <v>62994</v>
      </c>
      <c r="F132" s="55">
        <v>42911</v>
      </c>
      <c r="G132" s="56">
        <v>3</v>
      </c>
      <c r="H132" s="152" t="s">
        <v>12</v>
      </c>
      <c r="I132" s="155"/>
      <c r="J132" s="156"/>
      <c r="K132" s="154"/>
      <c r="L132" s="154"/>
      <c r="M132" s="154"/>
      <c r="N132" s="157"/>
      <c r="O132" s="158"/>
      <c r="P132" s="159"/>
      <c r="Q132" s="154"/>
      <c r="R132" s="154"/>
    </row>
    <row r="133" spans="1:18">
      <c r="A133" s="52" t="s">
        <v>254</v>
      </c>
      <c r="B133" s="53" t="s">
        <v>21</v>
      </c>
      <c r="C133" s="53" t="s">
        <v>25</v>
      </c>
      <c r="D133" s="53" t="s">
        <v>34</v>
      </c>
      <c r="E133" s="54">
        <v>48289</v>
      </c>
      <c r="F133" s="55" t="s">
        <v>12</v>
      </c>
      <c r="G133" s="56">
        <v>3</v>
      </c>
      <c r="H133" s="152" t="s">
        <v>27</v>
      </c>
      <c r="I133" s="155"/>
      <c r="J133" s="156"/>
      <c r="K133" s="154"/>
      <c r="L133" s="154"/>
      <c r="M133" s="154"/>
      <c r="N133" s="157"/>
      <c r="O133" s="158"/>
      <c r="P133" s="159"/>
      <c r="Q133" s="154"/>
      <c r="R133" s="154"/>
    </row>
    <row r="134" spans="1:18">
      <c r="A134" s="52" t="s">
        <v>255</v>
      </c>
      <c r="B134" s="53" t="s">
        <v>38</v>
      </c>
      <c r="C134" s="53" t="s">
        <v>41</v>
      </c>
      <c r="D134" s="53" t="s">
        <v>17</v>
      </c>
      <c r="E134" s="54">
        <v>34402</v>
      </c>
      <c r="F134" s="55">
        <v>42925</v>
      </c>
      <c r="G134" s="56">
        <v>3</v>
      </c>
      <c r="H134" s="152" t="s">
        <v>18</v>
      </c>
      <c r="I134" s="155"/>
      <c r="J134" s="156"/>
      <c r="K134" s="154"/>
      <c r="L134" s="154"/>
      <c r="M134" s="154"/>
      <c r="N134" s="157"/>
      <c r="O134" s="158"/>
      <c r="P134" s="159"/>
      <c r="Q134" s="154"/>
      <c r="R134" s="154"/>
    </row>
    <row r="135" spans="1:18">
      <c r="A135" s="52" t="s">
        <v>256</v>
      </c>
      <c r="B135" s="53" t="s">
        <v>15</v>
      </c>
      <c r="C135" s="53" t="s">
        <v>16</v>
      </c>
      <c r="D135" s="53" t="s">
        <v>26</v>
      </c>
      <c r="E135" s="54">
        <v>38678</v>
      </c>
      <c r="F135" s="55">
        <v>42932</v>
      </c>
      <c r="G135" s="56">
        <v>3</v>
      </c>
      <c r="H135" s="152" t="s">
        <v>18</v>
      </c>
      <c r="I135" s="155"/>
      <c r="J135" s="156"/>
      <c r="K135" s="154"/>
      <c r="L135" s="154"/>
      <c r="M135" s="154"/>
      <c r="N135" s="157"/>
      <c r="O135" s="158"/>
      <c r="P135" s="159"/>
      <c r="Q135" s="154"/>
      <c r="R135" s="154"/>
    </row>
    <row r="136" spans="1:18">
      <c r="A136" s="52" t="s">
        <v>258</v>
      </c>
      <c r="B136" s="53" t="s">
        <v>40</v>
      </c>
      <c r="C136" s="53" t="s">
        <v>16</v>
      </c>
      <c r="D136" s="53" t="s">
        <v>17</v>
      </c>
      <c r="E136" s="54">
        <v>45758</v>
      </c>
      <c r="F136" s="55">
        <v>42939</v>
      </c>
      <c r="G136" s="56">
        <v>3</v>
      </c>
      <c r="H136" s="152" t="s">
        <v>12</v>
      </c>
      <c r="I136" s="155"/>
      <c r="J136" s="156"/>
      <c r="K136" s="154"/>
      <c r="L136" s="154"/>
      <c r="M136" s="154"/>
      <c r="N136" s="157"/>
      <c r="O136" s="158"/>
      <c r="P136" s="159"/>
      <c r="Q136" s="154"/>
      <c r="R136" s="154"/>
    </row>
    <row r="137" spans="1:18">
      <c r="A137" s="52" t="s">
        <v>259</v>
      </c>
      <c r="B137" s="53" t="s">
        <v>15</v>
      </c>
      <c r="C137" s="53" t="s">
        <v>41</v>
      </c>
      <c r="D137" s="53" t="s">
        <v>34</v>
      </c>
      <c r="E137" s="54">
        <v>62476</v>
      </c>
      <c r="F137" s="55">
        <v>42946</v>
      </c>
      <c r="G137" s="56">
        <v>1</v>
      </c>
      <c r="H137" s="152" t="s">
        <v>18</v>
      </c>
      <c r="I137" s="155"/>
      <c r="J137" s="156"/>
      <c r="K137" s="154"/>
      <c r="L137" s="154"/>
      <c r="M137" s="154"/>
      <c r="N137" s="157"/>
      <c r="O137" s="158"/>
      <c r="P137" s="159"/>
      <c r="Q137" s="154"/>
      <c r="R137" s="154"/>
    </row>
    <row r="138" spans="1:18">
      <c r="A138" s="52" t="s">
        <v>260</v>
      </c>
      <c r="B138" s="53" t="s">
        <v>12</v>
      </c>
      <c r="C138" s="53" t="s">
        <v>33</v>
      </c>
      <c r="D138" s="53" t="s">
        <v>46</v>
      </c>
      <c r="E138" s="54">
        <v>39280</v>
      </c>
      <c r="F138" s="55">
        <v>42953</v>
      </c>
      <c r="G138" s="56">
        <v>3</v>
      </c>
      <c r="H138" s="152" t="s">
        <v>35</v>
      </c>
      <c r="I138" s="155"/>
      <c r="J138" s="156"/>
      <c r="K138" s="154"/>
      <c r="L138" s="154"/>
      <c r="M138" s="154"/>
      <c r="N138" s="157"/>
      <c r="O138" s="158"/>
      <c r="P138" s="159"/>
      <c r="Q138" s="154"/>
      <c r="R138" s="154"/>
    </row>
    <row r="139" spans="1:18">
      <c r="A139" s="52" t="s">
        <v>261</v>
      </c>
      <c r="B139" s="53" t="s">
        <v>30</v>
      </c>
      <c r="C139" s="53" t="s">
        <v>10</v>
      </c>
      <c r="D139" s="53" t="s">
        <v>34</v>
      </c>
      <c r="E139" s="54">
        <v>60335</v>
      </c>
      <c r="F139" s="55">
        <v>42960</v>
      </c>
      <c r="G139" s="56">
        <v>4</v>
      </c>
      <c r="H139" s="152" t="s">
        <v>18</v>
      </c>
      <c r="I139" s="155"/>
      <c r="J139" s="156"/>
      <c r="K139" s="154"/>
      <c r="L139" s="154"/>
      <c r="M139" s="154"/>
      <c r="N139" s="157"/>
      <c r="O139" s="158"/>
      <c r="P139" s="159"/>
      <c r="Q139" s="154"/>
      <c r="R139" s="154"/>
    </row>
    <row r="140" spans="1:18">
      <c r="A140" s="52" t="s">
        <v>262</v>
      </c>
      <c r="B140" s="53" t="s">
        <v>40</v>
      </c>
      <c r="C140" s="53" t="s">
        <v>16</v>
      </c>
      <c r="D140" s="53" t="s">
        <v>17</v>
      </c>
      <c r="E140" s="54">
        <v>84968</v>
      </c>
      <c r="F140" s="55">
        <v>42967</v>
      </c>
      <c r="G140" s="56">
        <v>3.0909090909090908</v>
      </c>
      <c r="H140" s="152" t="s">
        <v>12</v>
      </c>
      <c r="I140" s="155"/>
      <c r="J140" s="156"/>
      <c r="K140" s="154"/>
      <c r="L140" s="154"/>
      <c r="M140" s="154"/>
      <c r="N140" s="157"/>
      <c r="O140" s="158"/>
      <c r="P140" s="159"/>
      <c r="Q140" s="154"/>
      <c r="R140" s="154"/>
    </row>
    <row r="141" spans="1:18">
      <c r="A141" s="52" t="s">
        <v>264</v>
      </c>
      <c r="B141" s="53" t="s">
        <v>40</v>
      </c>
      <c r="C141" s="53" t="s">
        <v>41</v>
      </c>
      <c r="D141" s="53" t="s">
        <v>63</v>
      </c>
      <c r="E141" s="54">
        <v>84750</v>
      </c>
      <c r="F141" s="55">
        <v>42974</v>
      </c>
      <c r="G141" s="56">
        <v>4</v>
      </c>
      <c r="H141" s="152" t="s">
        <v>35</v>
      </c>
      <c r="I141" s="155"/>
      <c r="J141" s="156"/>
      <c r="K141" s="154"/>
      <c r="L141" s="154"/>
      <c r="M141" s="154"/>
      <c r="N141" s="157"/>
      <c r="O141" s="158"/>
      <c r="P141" s="159"/>
      <c r="Q141" s="154"/>
      <c r="R141" s="154"/>
    </row>
    <row r="142" spans="1:18">
      <c r="A142" s="52" t="s">
        <v>265</v>
      </c>
      <c r="B142" s="53" t="s">
        <v>53</v>
      </c>
      <c r="C142" s="53" t="s">
        <v>33</v>
      </c>
      <c r="D142" s="53" t="s">
        <v>12</v>
      </c>
      <c r="E142" s="54">
        <v>73348</v>
      </c>
      <c r="F142" s="55">
        <v>42981</v>
      </c>
      <c r="G142" s="56">
        <v>2</v>
      </c>
      <c r="H142" s="152" t="s">
        <v>12</v>
      </c>
      <c r="I142" s="155"/>
      <c r="J142" s="156"/>
      <c r="K142" s="154"/>
      <c r="L142" s="154"/>
      <c r="M142" s="154"/>
      <c r="N142" s="157"/>
      <c r="O142" s="158"/>
      <c r="P142" s="159"/>
      <c r="Q142" s="154"/>
      <c r="R142" s="154"/>
    </row>
    <row r="143" spans="1:18">
      <c r="A143" s="52" t="s">
        <v>266</v>
      </c>
      <c r="B143" s="53" t="s">
        <v>40</v>
      </c>
      <c r="C143" s="53" t="s">
        <v>25</v>
      </c>
      <c r="D143" s="53" t="s">
        <v>26</v>
      </c>
      <c r="E143" s="54">
        <v>73697</v>
      </c>
      <c r="F143" s="55">
        <v>42988</v>
      </c>
      <c r="G143" s="56">
        <v>4</v>
      </c>
      <c r="H143" s="152" t="s">
        <v>18</v>
      </c>
      <c r="I143" s="155"/>
      <c r="J143" s="156"/>
      <c r="K143" s="154"/>
      <c r="L143" s="154"/>
      <c r="M143" s="154"/>
      <c r="N143" s="157"/>
      <c r="O143" s="158"/>
      <c r="P143" s="159"/>
      <c r="Q143" s="154"/>
      <c r="R143" s="154"/>
    </row>
    <row r="144" spans="1:18">
      <c r="A144" s="52" t="s">
        <v>267</v>
      </c>
      <c r="B144" s="53" t="s">
        <v>30</v>
      </c>
      <c r="C144" s="53" t="s">
        <v>41</v>
      </c>
      <c r="D144" s="53" t="s">
        <v>26</v>
      </c>
      <c r="E144" s="54">
        <v>66882</v>
      </c>
      <c r="F144" s="55">
        <v>42995</v>
      </c>
      <c r="G144" s="56">
        <v>5</v>
      </c>
      <c r="H144" s="152" t="s">
        <v>18</v>
      </c>
      <c r="I144" s="155"/>
      <c r="J144" s="156"/>
      <c r="K144" s="154"/>
      <c r="L144" s="154"/>
      <c r="M144" s="154"/>
      <c r="N144" s="157"/>
      <c r="O144" s="158"/>
      <c r="P144" s="159"/>
      <c r="Q144" s="154"/>
      <c r="R144" s="154"/>
    </row>
    <row r="145" spans="1:18">
      <c r="A145" s="52" t="s">
        <v>268</v>
      </c>
      <c r="B145" s="53" t="s">
        <v>21</v>
      </c>
      <c r="C145" s="67" t="s">
        <v>41</v>
      </c>
      <c r="D145" s="53" t="s">
        <v>12</v>
      </c>
      <c r="E145" s="54">
        <v>86775</v>
      </c>
      <c r="F145" s="55">
        <v>43002</v>
      </c>
      <c r="G145" s="56">
        <v>3</v>
      </c>
      <c r="H145" s="152" t="s">
        <v>18</v>
      </c>
      <c r="I145" s="155"/>
      <c r="J145" s="156"/>
      <c r="K145" s="154"/>
      <c r="L145" s="154"/>
      <c r="M145" s="154"/>
      <c r="N145" s="157"/>
      <c r="O145" s="158"/>
      <c r="P145" s="159"/>
      <c r="Q145" s="154"/>
      <c r="R145" s="154"/>
    </row>
    <row r="146" spans="1:18">
      <c r="A146" s="52" t="s">
        <v>269</v>
      </c>
      <c r="B146" s="53" t="s">
        <v>40</v>
      </c>
      <c r="C146" s="53" t="s">
        <v>25</v>
      </c>
      <c r="D146" s="53" t="s">
        <v>46</v>
      </c>
      <c r="E146" s="54">
        <v>91620</v>
      </c>
      <c r="F146" s="55">
        <v>43009</v>
      </c>
      <c r="G146" s="56">
        <v>2.6666666666666665</v>
      </c>
      <c r="H146" s="152" t="s">
        <v>12</v>
      </c>
      <c r="I146" s="155"/>
      <c r="J146" s="156"/>
      <c r="K146" s="154"/>
      <c r="L146" s="154"/>
      <c r="M146" s="154"/>
      <c r="N146" s="157"/>
      <c r="O146" s="158"/>
      <c r="P146" s="159"/>
      <c r="Q146" s="154"/>
      <c r="R146" s="154"/>
    </row>
    <row r="147" spans="1:18">
      <c r="A147" s="52" t="s">
        <v>271</v>
      </c>
      <c r="B147" s="67" t="s">
        <v>15</v>
      </c>
      <c r="C147" s="53" t="s">
        <v>12</v>
      </c>
      <c r="D147" s="53" t="s">
        <v>12</v>
      </c>
      <c r="E147" s="54">
        <v>94148</v>
      </c>
      <c r="F147" s="55">
        <v>43016</v>
      </c>
      <c r="G147" s="56">
        <v>2</v>
      </c>
      <c r="H147" s="152" t="s">
        <v>12</v>
      </c>
      <c r="I147" s="155"/>
      <c r="J147" s="156"/>
      <c r="K147" s="154"/>
      <c r="L147" s="154"/>
      <c r="M147" s="154"/>
      <c r="N147" s="157"/>
      <c r="O147" s="158"/>
      <c r="P147" s="159"/>
      <c r="Q147" s="154"/>
      <c r="R147" s="154"/>
    </row>
    <row r="148" spans="1:18">
      <c r="A148" s="52" t="s">
        <v>273</v>
      </c>
      <c r="B148" s="53" t="s">
        <v>38</v>
      </c>
      <c r="C148" s="53" t="s">
        <v>25</v>
      </c>
      <c r="D148" s="53" t="s">
        <v>63</v>
      </c>
      <c r="E148" s="54">
        <v>35627</v>
      </c>
      <c r="F148" s="55">
        <v>43023</v>
      </c>
      <c r="G148" s="56">
        <v>5</v>
      </c>
      <c r="H148" s="152" t="s">
        <v>35</v>
      </c>
      <c r="I148" s="155"/>
      <c r="J148" s="156"/>
      <c r="K148" s="154"/>
      <c r="L148" s="154"/>
      <c r="M148" s="154"/>
      <c r="N148" s="157"/>
      <c r="O148" s="158"/>
      <c r="P148" s="159"/>
      <c r="Q148" s="154"/>
      <c r="R148" s="154"/>
    </row>
    <row r="149" spans="1:18">
      <c r="A149" s="52" t="s">
        <v>274</v>
      </c>
      <c r="B149" s="53" t="s">
        <v>24</v>
      </c>
      <c r="C149" s="53" t="s">
        <v>41</v>
      </c>
      <c r="D149" s="53" t="s">
        <v>26</v>
      </c>
      <c r="E149" s="54">
        <v>57141</v>
      </c>
      <c r="F149" s="55">
        <v>43030</v>
      </c>
      <c r="G149" s="56">
        <v>2</v>
      </c>
      <c r="H149" s="152" t="s">
        <v>12</v>
      </c>
      <c r="I149" s="155"/>
      <c r="J149" s="156"/>
      <c r="K149" s="154"/>
      <c r="L149" s="154"/>
      <c r="M149" s="154"/>
      <c r="N149" s="157"/>
      <c r="O149" s="158"/>
      <c r="P149" s="159"/>
      <c r="Q149" s="154"/>
      <c r="R149" s="154"/>
    </row>
    <row r="150" spans="1:18">
      <c r="A150" s="52" t="s">
        <v>275</v>
      </c>
      <c r="B150" s="53" t="s">
        <v>53</v>
      </c>
      <c r="C150" s="53" t="s">
        <v>25</v>
      </c>
      <c r="D150" s="53" t="s">
        <v>63</v>
      </c>
      <c r="E150" s="54">
        <v>65270</v>
      </c>
      <c r="F150" s="55">
        <v>43037</v>
      </c>
      <c r="G150" s="56">
        <v>1</v>
      </c>
      <c r="H150" s="152" t="s">
        <v>12</v>
      </c>
      <c r="I150" s="155"/>
      <c r="J150" s="156"/>
      <c r="K150" s="154"/>
      <c r="L150" s="154"/>
      <c r="M150" s="154"/>
      <c r="N150" s="157"/>
      <c r="O150" s="158"/>
      <c r="P150" s="159"/>
      <c r="Q150" s="154"/>
      <c r="R150" s="154"/>
    </row>
    <row r="151" spans="1:18">
      <c r="A151" s="52" t="s">
        <v>277</v>
      </c>
      <c r="B151" s="67" t="s">
        <v>53</v>
      </c>
      <c r="C151" s="53" t="s">
        <v>12</v>
      </c>
      <c r="D151" s="53" t="s">
        <v>46</v>
      </c>
      <c r="E151" s="54">
        <v>67335</v>
      </c>
      <c r="F151" s="55">
        <v>43044</v>
      </c>
      <c r="G151" s="56">
        <v>1</v>
      </c>
      <c r="H151" s="152" t="s">
        <v>18</v>
      </c>
      <c r="I151" s="155"/>
      <c r="J151" s="156"/>
      <c r="K151" s="154"/>
      <c r="L151" s="154"/>
      <c r="M151" s="154"/>
      <c r="N151" s="157"/>
      <c r="O151" s="158"/>
      <c r="P151" s="159"/>
      <c r="Q151" s="154"/>
      <c r="R151" s="154"/>
    </row>
    <row r="152" spans="1:18" ht="15" thickBot="1">
      <c r="A152" s="136" t="s">
        <v>278</v>
      </c>
      <c r="B152" s="137" t="s">
        <v>38</v>
      </c>
      <c r="C152" s="137" t="s">
        <v>41</v>
      </c>
      <c r="D152" s="137" t="s">
        <v>34</v>
      </c>
      <c r="E152" s="138">
        <v>98475</v>
      </c>
      <c r="F152" s="139">
        <v>43051</v>
      </c>
      <c r="G152" s="140">
        <v>5</v>
      </c>
      <c r="H152" s="153" t="s">
        <v>18</v>
      </c>
      <c r="I152" s="155"/>
      <c r="J152" s="156"/>
      <c r="K152" s="154"/>
      <c r="L152" s="154"/>
      <c r="M152" s="154"/>
      <c r="N152" s="157"/>
      <c r="O152" s="158"/>
      <c r="P152" s="159"/>
      <c r="Q152" s="154"/>
      <c r="R152" s="154"/>
    </row>
    <row r="153" spans="1:18">
      <c r="I153" s="154"/>
      <c r="J153" s="154"/>
      <c r="K153" s="154"/>
      <c r="L153" s="154"/>
      <c r="M153" s="154"/>
      <c r="N153" s="154"/>
      <c r="O153" s="158"/>
      <c r="P153" s="154"/>
      <c r="Q153" s="154"/>
      <c r="R153" s="154"/>
    </row>
  </sheetData>
  <mergeCells count="1">
    <mergeCell ref="A1:N1"/>
  </mergeCells>
  <phoneticPr fontId="17" type="noConversion"/>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2CFEE4-DC4E-44A3-A275-6B9A506756F0}">
  <dimension ref="A1:J153"/>
  <sheetViews>
    <sheetView workbookViewId="0">
      <selection activeCell="B4" sqref="B4"/>
    </sheetView>
  </sheetViews>
  <sheetFormatPr defaultRowHeight="14.4"/>
  <cols>
    <col min="1" max="1" width="12.5546875" style="51" customWidth="1"/>
    <col min="2" max="2" width="13.33203125" customWidth="1"/>
    <col min="3" max="3" width="15.109375" customWidth="1"/>
    <col min="4" max="4" width="10.88671875" customWidth="1"/>
    <col min="5" max="5" width="12" customWidth="1"/>
    <col min="6" max="6" width="16.5546875" style="51" customWidth="1"/>
    <col min="7" max="7" width="16.21875" style="51" customWidth="1"/>
    <col min="8" max="8" width="15.6640625" customWidth="1"/>
  </cols>
  <sheetData>
    <row r="1" spans="1:10" ht="21">
      <c r="A1" s="199" t="s">
        <v>370</v>
      </c>
      <c r="B1" s="199"/>
      <c r="C1" s="199"/>
      <c r="D1" s="199"/>
      <c r="E1" s="199"/>
      <c r="F1" s="199"/>
      <c r="G1" s="199"/>
      <c r="H1" s="199"/>
      <c r="I1" s="199"/>
      <c r="J1" s="199"/>
    </row>
    <row r="2" spans="1:10">
      <c r="A2" s="143" t="s">
        <v>0</v>
      </c>
      <c r="B2" s="144" t="s">
        <v>1</v>
      </c>
      <c r="C2" s="144" t="s">
        <v>2</v>
      </c>
      <c r="D2" s="144" t="s">
        <v>3</v>
      </c>
      <c r="E2" s="145" t="s">
        <v>4</v>
      </c>
      <c r="F2" s="146" t="s">
        <v>5</v>
      </c>
      <c r="G2" s="147" t="s">
        <v>6</v>
      </c>
      <c r="H2" s="144" t="s">
        <v>7</v>
      </c>
    </row>
    <row r="3" spans="1:10">
      <c r="A3" s="150" t="s">
        <v>9</v>
      </c>
      <c r="B3" s="148" t="str">
        <f>VLOOKUP($A3,'Orginal data'!$A$2:$H$152,2,FALSE)</f>
        <v>Unknown</v>
      </c>
      <c r="C3" s="148" t="str">
        <f>VLOOKUP($A3,'Orginal data'!$A$2:$H$152,3,FALSE)</f>
        <v>Finance</v>
      </c>
      <c r="D3" s="148" t="str">
        <f>VLOOKUP($A3,'Orginal data'!$A$2:$H$152,4,FALSE)</f>
        <v>Unknown</v>
      </c>
      <c r="E3" s="54">
        <f>VLOOKUP($A3,'Orginal data'!$A$2:$H$152,5,FALSE)</f>
        <v>66280.929577464791</v>
      </c>
      <c r="F3" s="149" t="str">
        <f>VLOOKUP($A3,'Orginal data'!$A$2:$H$152,6,FALSE)</f>
        <v>Unknown</v>
      </c>
      <c r="G3" s="56">
        <f>VLOOKUP($A3,'Orginal data'!$A$2:$H$152,7,FALSE)</f>
        <v>2</v>
      </c>
      <c r="H3" s="148" t="str">
        <f>VLOOKUP($A3,'Orginal data'!$A$2:$H$152,8,FALSE)</f>
        <v>Unknown</v>
      </c>
    </row>
    <row r="4" spans="1:10">
      <c r="A4" s="150" t="s">
        <v>14</v>
      </c>
      <c r="B4" s="148" t="str">
        <f>VLOOKUP($A4,'Orginal data'!$A$2:$H$152,2,FALSE)</f>
        <v>Eve Adams</v>
      </c>
      <c r="C4" s="148" t="str">
        <f>VLOOKUP($A4,'Orginal data'!$A$2:$H$152,3,FALSE)</f>
        <v>HR</v>
      </c>
      <c r="D4" s="148" t="str">
        <f>VLOOKUP($A4,'Orginal data'!$A$2:$H$152,4,FALSE)</f>
        <v>Germany</v>
      </c>
      <c r="E4" s="54">
        <f>VLOOKUP($A4,'Orginal data'!$A$2:$H$152,5,FALSE)</f>
        <v>54255</v>
      </c>
      <c r="F4" s="149">
        <f>VLOOKUP($A4,'Orginal data'!$A$2:$H$152,6,FALSE)</f>
        <v>42015</v>
      </c>
      <c r="G4" s="56">
        <f>VLOOKUP($A4,'Orginal data'!$A$2:$H$152,7,FALSE)</f>
        <v>1</v>
      </c>
      <c r="H4" s="148" t="str">
        <f>VLOOKUP($A4,'Orginal data'!$A$2:$H$152,8,FALSE)</f>
        <v>Other</v>
      </c>
    </row>
    <row r="5" spans="1:10">
      <c r="A5" s="150" t="s">
        <v>20</v>
      </c>
      <c r="B5" s="148" t="str">
        <f>VLOOKUP($A5,'Orginal data'!$A$2:$H$152,2,FALSE)</f>
        <v>Alice Brown</v>
      </c>
      <c r="C5" s="148" t="str">
        <f>VLOOKUP($A5,'Orginal data'!$A$2:$H$152,3,FALSE)</f>
        <v>Finance</v>
      </c>
      <c r="D5" s="148" t="str">
        <f>VLOOKUP($A5,'Orginal data'!$A$2:$H$152,4,FALSE)</f>
        <v>Germany</v>
      </c>
      <c r="E5" s="54">
        <f>VLOOKUP($A5,'Orginal data'!$A$2:$H$152,5,FALSE)</f>
        <v>63184</v>
      </c>
      <c r="F5" s="149">
        <f>VLOOKUP($A5,'Orginal data'!$A$2:$H$152,6,FALSE)</f>
        <v>42022</v>
      </c>
      <c r="G5" s="56">
        <f>VLOOKUP($A5,'Orginal data'!$A$2:$H$152,7,FALSE)</f>
        <v>2</v>
      </c>
      <c r="H5" s="148" t="str">
        <f>VLOOKUP($A5,'Orginal data'!$A$2:$H$152,8,FALSE)</f>
        <v>Unknown</v>
      </c>
    </row>
    <row r="6" spans="1:10">
      <c r="A6" s="150" t="s">
        <v>23</v>
      </c>
      <c r="B6" s="148" t="str">
        <f>VLOOKUP($A6,'Orginal data'!$A$2:$H$152,2,FALSE)</f>
        <v>John Doe</v>
      </c>
      <c r="C6" s="148" t="str">
        <f>VLOOKUP($A6,'Orginal data'!$A$2:$H$152,3,FALSE)</f>
        <v>Sales</v>
      </c>
      <c r="D6" s="148" t="str">
        <f>VLOOKUP($A6,'Orginal data'!$A$2:$H$152,4,FALSE)</f>
        <v>USA</v>
      </c>
      <c r="E6" s="54">
        <f>VLOOKUP($A6,'Orginal data'!$A$2:$H$152,5,FALSE)</f>
        <v>94406</v>
      </c>
      <c r="F6" s="149">
        <f>VLOOKUP($A6,'Orginal data'!$A$2:$H$152,6,FALSE)</f>
        <v>42029</v>
      </c>
      <c r="G6" s="56">
        <f>VLOOKUP($A6,'Orginal data'!$A$2:$H$152,7,FALSE)</f>
        <v>1</v>
      </c>
      <c r="H6" s="148" t="str">
        <f>VLOOKUP($A6,'Orginal data'!$A$2:$H$152,8,FALSE)</f>
        <v>Male</v>
      </c>
    </row>
    <row r="7" spans="1:10">
      <c r="A7" s="150" t="s">
        <v>29</v>
      </c>
      <c r="B7" s="148" t="str">
        <f>VLOOKUP($A7,'Orginal data'!$A$2:$H$152,2,FALSE)</f>
        <v>Jane Smith</v>
      </c>
      <c r="C7" s="148" t="str">
        <f>VLOOKUP($A7,'Orginal data'!$A$2:$H$152,3,FALSE)</f>
        <v>Sales</v>
      </c>
      <c r="D7" s="148" t="str">
        <f>VLOOKUP($A7,'Orginal data'!$A$2:$H$152,4,FALSE)</f>
        <v>Germany</v>
      </c>
      <c r="E7" s="54">
        <f>VLOOKUP($A7,'Orginal data'!$A$2:$H$152,5,FALSE)</f>
        <v>64120</v>
      </c>
      <c r="F7" s="149">
        <f>VLOOKUP($A7,'Orginal data'!$A$2:$H$152,6,FALSE)</f>
        <v>42036</v>
      </c>
      <c r="G7" s="56">
        <f>VLOOKUP($A7,'Orginal data'!$A$2:$H$152,7,FALSE)</f>
        <v>1</v>
      </c>
      <c r="H7" s="148" t="str">
        <f>VLOOKUP($A7,'Orginal data'!$A$2:$H$152,8,FALSE)</f>
        <v>Male</v>
      </c>
    </row>
    <row r="8" spans="1:10">
      <c r="A8" s="150" t="s">
        <v>32</v>
      </c>
      <c r="B8" s="148" t="str">
        <f>VLOOKUP($A8,'Orginal data'!$A$2:$H$152,2,FALSE)</f>
        <v>Alice Brown</v>
      </c>
      <c r="C8" s="148" t="str">
        <f>VLOOKUP($A8,'Orginal data'!$A$2:$H$152,3,FALSE)</f>
        <v>IT</v>
      </c>
      <c r="D8" s="148" t="str">
        <f>VLOOKUP($A8,'Orginal data'!$A$2:$H$152,4,FALSE)</f>
        <v>India</v>
      </c>
      <c r="E8" s="54">
        <f>VLOOKUP($A8,'Orginal data'!$A$2:$H$152,5,FALSE)</f>
        <v>78421</v>
      </c>
      <c r="F8" s="149">
        <f>VLOOKUP($A8,'Orginal data'!$A$2:$H$152,6,FALSE)</f>
        <v>42043</v>
      </c>
      <c r="G8" s="56">
        <f>VLOOKUP($A8,'Orginal data'!$A$2:$H$152,7,FALSE)</f>
        <v>2</v>
      </c>
      <c r="H8" s="148" t="str">
        <f>VLOOKUP($A8,'Orginal data'!$A$2:$H$152,8,FALSE)</f>
        <v>Female</v>
      </c>
    </row>
    <row r="9" spans="1:10">
      <c r="A9" s="150" t="s">
        <v>37</v>
      </c>
      <c r="B9" s="148" t="str">
        <f>VLOOKUP($A9,'Orginal data'!$A$2:$H$152,2,FALSE)</f>
        <v>Sam Wilson</v>
      </c>
      <c r="C9" s="148" t="str">
        <f>VLOOKUP($A9,'Orginal data'!$A$2:$H$152,3,FALSE)</f>
        <v>Sales</v>
      </c>
      <c r="D9" s="148" t="str">
        <f>VLOOKUP($A9,'Orginal data'!$A$2:$H$152,4,FALSE)</f>
        <v>Unknown</v>
      </c>
      <c r="E9" s="54">
        <f>VLOOKUP($A9,'Orginal data'!$A$2:$H$152,5,FALSE)</f>
        <v>67721</v>
      </c>
      <c r="F9" s="149">
        <f>VLOOKUP($A9,'Orginal data'!$A$2:$H$152,6,FALSE)</f>
        <v>42050</v>
      </c>
      <c r="G9" s="56">
        <f>VLOOKUP($A9,'Orginal data'!$A$2:$H$152,7,FALSE)</f>
        <v>2.9411764705882355</v>
      </c>
      <c r="H9" s="148" t="str">
        <f>VLOOKUP($A9,'Orginal data'!$A$2:$H$152,8,FALSE)</f>
        <v>Male</v>
      </c>
    </row>
    <row r="10" spans="1:10">
      <c r="A10" s="150" t="s">
        <v>39</v>
      </c>
      <c r="B10" s="148" t="str">
        <f>VLOOKUP($A10,'Orginal data'!$A$2:$H$152,2,FALSE)</f>
        <v>Chris Lee</v>
      </c>
      <c r="C10" s="148" t="str">
        <f>VLOOKUP($A10,'Orginal data'!$A$2:$H$152,3,FALSE)</f>
        <v>Marketing</v>
      </c>
      <c r="D10" s="148" t="str">
        <f>VLOOKUP($A10,'Orginal data'!$A$2:$H$152,4,FALSE)</f>
        <v>Unknown</v>
      </c>
      <c r="E10" s="54">
        <f>VLOOKUP($A10,'Orginal data'!$A$2:$H$152,5,FALSE)</f>
        <v>35364</v>
      </c>
      <c r="F10" s="149">
        <f>VLOOKUP($A10,'Orginal data'!$A$2:$H$152,6,FALSE)</f>
        <v>42057</v>
      </c>
      <c r="G10" s="56">
        <f>VLOOKUP($A10,'Orginal data'!$A$2:$H$152,7,FALSE)</f>
        <v>2</v>
      </c>
      <c r="H10" s="148" t="str">
        <f>VLOOKUP($A10,'Orginal data'!$A$2:$H$152,8,FALSE)</f>
        <v>Other</v>
      </c>
    </row>
    <row r="11" spans="1:10">
      <c r="A11" s="150" t="s">
        <v>43</v>
      </c>
      <c r="B11" s="148" t="str">
        <f>VLOOKUP($A11,'Orginal data'!$A$2:$H$152,2,FALSE)</f>
        <v>Alice Brown</v>
      </c>
      <c r="C11" s="148" t="str">
        <f>VLOOKUP($A11,'Orginal data'!$A$2:$H$152,3,FALSE)</f>
        <v>IT</v>
      </c>
      <c r="D11" s="148" t="str">
        <f>VLOOKUP($A11,'Orginal data'!$A$2:$H$152,4,FALSE)</f>
        <v>Germany</v>
      </c>
      <c r="E11" s="54">
        <f>VLOOKUP($A11,'Orginal data'!$A$2:$H$152,5,FALSE)</f>
        <v>97881</v>
      </c>
      <c r="F11" s="149">
        <f>VLOOKUP($A11,'Orginal data'!$A$2:$H$152,6,FALSE)</f>
        <v>42064</v>
      </c>
      <c r="G11" s="56">
        <f>VLOOKUP($A11,'Orginal data'!$A$2:$H$152,7,FALSE)</f>
        <v>2.9491525423728815</v>
      </c>
      <c r="H11" s="148" t="str">
        <f>VLOOKUP($A11,'Orginal data'!$A$2:$H$152,8,FALSE)</f>
        <v>Female</v>
      </c>
    </row>
    <row r="12" spans="1:10">
      <c r="A12" s="150" t="s">
        <v>45</v>
      </c>
      <c r="B12" s="148" t="str">
        <f>VLOOKUP($A12,'Orginal data'!$A$2:$H$152,2,FALSE)</f>
        <v>Chris Lee</v>
      </c>
      <c r="C12" s="148" t="str">
        <f>VLOOKUP($A12,'Orginal data'!$A$2:$H$152,3,FALSE)</f>
        <v>HR</v>
      </c>
      <c r="D12" s="148" t="str">
        <f>VLOOKUP($A12,'Orginal data'!$A$2:$H$152,4,FALSE)</f>
        <v>UK</v>
      </c>
      <c r="E12" s="54">
        <f>VLOOKUP($A12,'Orginal data'!$A$2:$H$152,5,FALSE)</f>
        <v>91846</v>
      </c>
      <c r="F12" s="149">
        <f>VLOOKUP($A12,'Orginal data'!$A$2:$H$152,6,FALSE)</f>
        <v>42071</v>
      </c>
      <c r="G12" s="56">
        <f>VLOOKUP($A12,'Orginal data'!$A$2:$H$152,7,FALSE)</f>
        <v>2.9491525423728815</v>
      </c>
      <c r="H12" s="148" t="str">
        <f>VLOOKUP($A12,'Orginal data'!$A$2:$H$152,8,FALSE)</f>
        <v>Male</v>
      </c>
    </row>
    <row r="13" spans="1:10">
      <c r="A13" s="150" t="s">
        <v>48</v>
      </c>
      <c r="B13" s="148" t="str">
        <f>VLOOKUP($A13,'Orginal data'!$A$2:$H$152,2,FALSE)</f>
        <v>Sam Wilson</v>
      </c>
      <c r="C13" s="148" t="str">
        <f>VLOOKUP($A13,'Orginal data'!$A$2:$H$152,3,FALSE)</f>
        <v>Finance</v>
      </c>
      <c r="D13" s="148" t="str">
        <f>VLOOKUP($A13,'Orginal data'!$A$2:$H$152,4,FALSE)</f>
        <v>UK</v>
      </c>
      <c r="E13" s="54">
        <f>VLOOKUP($A13,'Orginal data'!$A$2:$H$152,5,FALSE)</f>
        <v>64247</v>
      </c>
      <c r="F13" s="149">
        <f>VLOOKUP($A13,'Orginal data'!$A$2:$H$152,6,FALSE)</f>
        <v>42078</v>
      </c>
      <c r="G13" s="56">
        <f>VLOOKUP($A13,'Orginal data'!$A$2:$H$152,7,FALSE)</f>
        <v>1</v>
      </c>
      <c r="H13" s="148" t="str">
        <f>VLOOKUP($A13,'Orginal data'!$A$2:$H$152,8,FALSE)</f>
        <v>Female</v>
      </c>
    </row>
    <row r="14" spans="1:10">
      <c r="A14" s="150" t="s">
        <v>50</v>
      </c>
      <c r="B14" s="148" t="str">
        <f>VLOOKUP($A14,'Orginal data'!$A$2:$H$152,2,FALSE)</f>
        <v>Sam Wilson</v>
      </c>
      <c r="C14" s="148" t="str">
        <f>VLOOKUP($A14,'Orginal data'!$A$2:$H$152,3,FALSE)</f>
        <v>IT</v>
      </c>
      <c r="D14" s="148" t="str">
        <f>VLOOKUP($A14,'Orginal data'!$A$2:$H$152,4,FALSE)</f>
        <v>USA</v>
      </c>
      <c r="E14" s="54">
        <f>VLOOKUP($A14,'Orginal data'!$A$2:$H$152,5,FALSE)</f>
        <v>91180</v>
      </c>
      <c r="F14" s="149">
        <f>VLOOKUP($A14,'Orginal data'!$A$2:$H$152,6,FALSE)</f>
        <v>42085</v>
      </c>
      <c r="G14" s="56">
        <f>VLOOKUP($A14,'Orginal data'!$A$2:$H$152,7,FALSE)</f>
        <v>5</v>
      </c>
      <c r="H14" s="148" t="str">
        <f>VLOOKUP($A14,'Orginal data'!$A$2:$H$152,8,FALSE)</f>
        <v>Male</v>
      </c>
    </row>
    <row r="15" spans="1:10">
      <c r="A15" s="150" t="s">
        <v>52</v>
      </c>
      <c r="B15" s="148" t="str">
        <f>VLOOKUP($A15,'Orginal data'!$A$2:$H$152,2,FALSE)</f>
        <v>Bob Johnson</v>
      </c>
      <c r="C15" s="148" t="str">
        <f>VLOOKUP($A15,'Orginal data'!$A$2:$H$152,3,FALSE)</f>
        <v>Sales</v>
      </c>
      <c r="D15" s="148" t="str">
        <f>VLOOKUP($A15,'Orginal data'!$A$2:$H$152,4,FALSE)</f>
        <v>Unknown</v>
      </c>
      <c r="E15" s="54">
        <f>VLOOKUP($A15,'Orginal data'!$A$2:$H$152,5,FALSE)</f>
        <v>96418</v>
      </c>
      <c r="F15" s="149">
        <f>VLOOKUP($A15,'Orginal data'!$A$2:$H$152,6,FALSE)</f>
        <v>42092</v>
      </c>
      <c r="G15" s="56">
        <f>VLOOKUP($A15,'Orginal data'!$A$2:$H$152,7,FALSE)</f>
        <v>5</v>
      </c>
      <c r="H15" s="148" t="str">
        <f>VLOOKUP($A15,'Orginal data'!$A$2:$H$152,8,FALSE)</f>
        <v>Male</v>
      </c>
    </row>
    <row r="16" spans="1:10">
      <c r="A16" s="150" t="s">
        <v>54</v>
      </c>
      <c r="B16" s="148" t="str">
        <f>VLOOKUP($A16,'Orginal data'!$A$2:$H$152,2,FALSE)</f>
        <v>Sam Wilson</v>
      </c>
      <c r="C16" s="148" t="str">
        <f>VLOOKUP($A16,'Orginal data'!$A$2:$H$152,3,FALSE)</f>
        <v>Unknown</v>
      </c>
      <c r="D16" s="148" t="str">
        <f>VLOOKUP($A16,'Orginal data'!$A$2:$H$152,4,FALSE)</f>
        <v>India</v>
      </c>
      <c r="E16" s="54">
        <f>VLOOKUP($A16,'Orginal data'!$A$2:$H$152,5,FALSE)</f>
        <v>62158</v>
      </c>
      <c r="F16" s="149">
        <f>VLOOKUP($A16,'Orginal data'!$A$2:$H$152,6,FALSE)</f>
        <v>42099</v>
      </c>
      <c r="G16" s="56">
        <f>VLOOKUP($A16,'Orginal data'!$A$2:$H$152,7,FALSE)</f>
        <v>4</v>
      </c>
      <c r="H16" s="148" t="str">
        <f>VLOOKUP($A16,'Orginal data'!$A$2:$H$152,8,FALSE)</f>
        <v>Unknown</v>
      </c>
    </row>
    <row r="17" spans="1:8">
      <c r="A17" s="150" t="s">
        <v>56</v>
      </c>
      <c r="B17" s="148" t="str">
        <f>VLOOKUP($A17,'Orginal data'!$A$2:$H$152,2,FALSE)</f>
        <v>Jane Smith</v>
      </c>
      <c r="C17" s="148" t="str">
        <f>VLOOKUP($A17,'Orginal data'!$A$2:$H$152,3,FALSE)</f>
        <v>HR</v>
      </c>
      <c r="D17" s="148" t="str">
        <f>VLOOKUP($A17,'Orginal data'!$A$2:$H$152,4,FALSE)</f>
        <v>Unknown</v>
      </c>
      <c r="E17" s="54">
        <f>VLOOKUP($A17,'Orginal data'!$A$2:$H$152,5,FALSE)</f>
        <v>59894</v>
      </c>
      <c r="F17" s="149">
        <f>VLOOKUP($A17,'Orginal data'!$A$2:$H$152,6,FALSE)</f>
        <v>42106</v>
      </c>
      <c r="G17" s="56">
        <f>VLOOKUP($A17,'Orginal data'!$A$2:$H$152,7,FALSE)</f>
        <v>2</v>
      </c>
      <c r="H17" s="148" t="str">
        <f>VLOOKUP($A17,'Orginal data'!$A$2:$H$152,8,FALSE)</f>
        <v>Male</v>
      </c>
    </row>
    <row r="18" spans="1:8">
      <c r="A18" s="150" t="s">
        <v>58</v>
      </c>
      <c r="B18" s="148" t="str">
        <f>VLOOKUP($A18,'Orginal data'!$A$2:$H$152,2,FALSE)</f>
        <v>Unknown</v>
      </c>
      <c r="C18" s="148" t="str">
        <f>VLOOKUP($A18,'Orginal data'!$A$2:$H$152,3,FALSE)</f>
        <v>IT</v>
      </c>
      <c r="D18" s="148" t="str">
        <f>VLOOKUP($A18,'Orginal data'!$A$2:$H$152,4,FALSE)</f>
        <v>India</v>
      </c>
      <c r="E18" s="54">
        <f>VLOOKUP($A18,'Orginal data'!$A$2:$H$152,5,FALSE)</f>
        <v>92443</v>
      </c>
      <c r="F18" s="149">
        <f>VLOOKUP($A18,'Orginal data'!$A$2:$H$152,6,FALSE)</f>
        <v>42113</v>
      </c>
      <c r="G18" s="56">
        <f>VLOOKUP($A18,'Orginal data'!$A$2:$H$152,7,FALSE)</f>
        <v>3</v>
      </c>
      <c r="H18" s="148" t="str">
        <f>VLOOKUP($A18,'Orginal data'!$A$2:$H$152,8,FALSE)</f>
        <v>Other</v>
      </c>
    </row>
    <row r="19" spans="1:8">
      <c r="A19" s="150" t="s">
        <v>60</v>
      </c>
      <c r="B19" s="148" t="str">
        <f>VLOOKUP($A19,'Orginal data'!$A$2:$H$152,2,FALSE)</f>
        <v>Bob Johnson</v>
      </c>
      <c r="C19" s="148" t="str">
        <f>VLOOKUP($A19,'Orginal data'!$A$2:$H$152,3,FALSE)</f>
        <v>Unknown</v>
      </c>
      <c r="D19" s="148" t="str">
        <f>VLOOKUP($A19,'Orginal data'!$A$2:$H$152,4,FALSE)</f>
        <v>Germany</v>
      </c>
      <c r="E19" s="54">
        <f>VLOOKUP($A19,'Orginal data'!$A$2:$H$152,5,FALSE)</f>
        <v>90271</v>
      </c>
      <c r="F19" s="149">
        <f>VLOOKUP($A19,'Orginal data'!$A$2:$H$152,6,FALSE)</f>
        <v>42120</v>
      </c>
      <c r="G19" s="56">
        <f>VLOOKUP($A19,'Orginal data'!$A$2:$H$152,7,FALSE)</f>
        <v>2.9285714285714284</v>
      </c>
      <c r="H19" s="148" t="str">
        <f>VLOOKUP($A19,'Orginal data'!$A$2:$H$152,8,FALSE)</f>
        <v>Unknown</v>
      </c>
    </row>
    <row r="20" spans="1:8">
      <c r="A20" s="150" t="s">
        <v>62</v>
      </c>
      <c r="B20" s="148" t="str">
        <f>VLOOKUP($A20,'Orginal data'!$A$2:$H$152,2,FALSE)</f>
        <v>Jane Smith</v>
      </c>
      <c r="C20" s="148" t="str">
        <f>VLOOKUP($A20,'Orginal data'!$A$2:$H$152,3,FALSE)</f>
        <v>Finance</v>
      </c>
      <c r="D20" s="148" t="str">
        <f>VLOOKUP($A20,'Orginal data'!$A$2:$H$152,4,FALSE)</f>
        <v>Australia</v>
      </c>
      <c r="E20" s="54">
        <f>VLOOKUP($A20,'Orginal data'!$A$2:$H$152,5,FALSE)</f>
        <v>41341</v>
      </c>
      <c r="F20" s="149">
        <f>VLOOKUP($A20,'Orginal data'!$A$2:$H$152,6,FALSE)</f>
        <v>42127</v>
      </c>
      <c r="G20" s="56">
        <f>VLOOKUP($A20,'Orginal data'!$A$2:$H$152,7,FALSE)</f>
        <v>1</v>
      </c>
      <c r="H20" s="148" t="str">
        <f>VLOOKUP($A20,'Orginal data'!$A$2:$H$152,8,FALSE)</f>
        <v>Other</v>
      </c>
    </row>
    <row r="21" spans="1:8">
      <c r="A21" s="150" t="s">
        <v>65</v>
      </c>
      <c r="B21" s="148" t="str">
        <f>VLOOKUP($A21,'Orginal data'!$A$2:$H$152,2,FALSE)</f>
        <v>Alice Brown</v>
      </c>
      <c r="C21" s="148" t="str">
        <f>VLOOKUP($A21,'Orginal data'!$A$2:$H$152,3,FALSE)</f>
        <v>Finance</v>
      </c>
      <c r="D21" s="148" t="str">
        <f>VLOOKUP($A21,'Orginal data'!$A$2:$H$152,4,FALSE)</f>
        <v>UK</v>
      </c>
      <c r="E21" s="54">
        <f>VLOOKUP($A21,'Orginal data'!$A$2:$H$152,5,FALSE)</f>
        <v>73602</v>
      </c>
      <c r="F21" s="149">
        <f>VLOOKUP($A21,'Orginal data'!$A$2:$H$152,6,FALSE)</f>
        <v>42134</v>
      </c>
      <c r="G21" s="56">
        <f>VLOOKUP($A21,'Orginal data'!$A$2:$H$152,7,FALSE)</f>
        <v>2.9459459459459461</v>
      </c>
      <c r="H21" s="148" t="str">
        <f>VLOOKUP($A21,'Orginal data'!$A$2:$H$152,8,FALSE)</f>
        <v>Unknown</v>
      </c>
    </row>
    <row r="22" spans="1:8">
      <c r="A22" s="150" t="s">
        <v>67</v>
      </c>
      <c r="B22" s="148" t="str">
        <f>VLOOKUP($A22,'Orginal data'!$A$2:$H$152,2,FALSE)</f>
        <v>Eve Adams</v>
      </c>
      <c r="C22" s="148" t="str">
        <f>VLOOKUP($A22,'Orginal data'!$A$2:$H$152,3,FALSE)</f>
        <v>Unknown</v>
      </c>
      <c r="D22" s="148" t="str">
        <f>VLOOKUP($A22,'Orginal data'!$A$2:$H$152,4,FALSE)</f>
        <v>India</v>
      </c>
      <c r="E22" s="54">
        <f>VLOOKUP($A22,'Orginal data'!$A$2:$H$152,5,FALSE)</f>
        <v>67531</v>
      </c>
      <c r="F22" s="149">
        <f>VLOOKUP($A22,'Orginal data'!$A$2:$H$152,6,FALSE)</f>
        <v>42141</v>
      </c>
      <c r="G22" s="56">
        <f>VLOOKUP($A22,'Orginal data'!$A$2:$H$152,7,FALSE)</f>
        <v>5</v>
      </c>
      <c r="H22" s="148" t="str">
        <f>VLOOKUP($A22,'Orginal data'!$A$2:$H$152,8,FALSE)</f>
        <v>Female</v>
      </c>
    </row>
    <row r="23" spans="1:8">
      <c r="A23" s="150" t="s">
        <v>69</v>
      </c>
      <c r="B23" s="148" t="str">
        <f>VLOOKUP($A23,'Orginal data'!$A$2:$H$152,2,FALSE)</f>
        <v>Jane Smith</v>
      </c>
      <c r="C23" s="148" t="str">
        <f>VLOOKUP($A23,'Orginal data'!$A$2:$H$152,3,FALSE)</f>
        <v>HR</v>
      </c>
      <c r="D23" s="148" t="str">
        <f>VLOOKUP($A23,'Orginal data'!$A$2:$H$152,4,FALSE)</f>
        <v>USA</v>
      </c>
      <c r="E23" s="54">
        <f>VLOOKUP($A23,'Orginal data'!$A$2:$H$152,5,FALSE)</f>
        <v>65248.853658536587</v>
      </c>
      <c r="F23" s="149">
        <f>VLOOKUP($A23,'Orginal data'!$A$2:$H$152,6,FALSE)</f>
        <v>42148</v>
      </c>
      <c r="G23" s="56">
        <f>VLOOKUP($A23,'Orginal data'!$A$2:$H$152,7,FALSE)</f>
        <v>2</v>
      </c>
      <c r="H23" s="148" t="str">
        <f>VLOOKUP($A23,'Orginal data'!$A$2:$H$152,8,FALSE)</f>
        <v>Other</v>
      </c>
    </row>
    <row r="24" spans="1:8">
      <c r="A24" s="150" t="s">
        <v>71</v>
      </c>
      <c r="B24" s="148" t="str">
        <f>VLOOKUP($A24,'Orginal data'!$A$2:$H$152,2,FALSE)</f>
        <v>Jane Smith</v>
      </c>
      <c r="C24" s="148" t="str">
        <f>VLOOKUP($A24,'Orginal data'!$A$2:$H$152,3,FALSE)</f>
        <v>HR</v>
      </c>
      <c r="D24" s="148" t="str">
        <f>VLOOKUP($A24,'Orginal data'!$A$2:$H$152,4,FALSE)</f>
        <v>Unknown</v>
      </c>
      <c r="E24" s="54">
        <f>VLOOKUP($A24,'Orginal data'!$A$2:$H$152,5,FALSE)</f>
        <v>98922</v>
      </c>
      <c r="F24" s="149">
        <f>VLOOKUP($A24,'Orginal data'!$A$2:$H$152,6,FALSE)</f>
        <v>42155</v>
      </c>
      <c r="G24" s="56">
        <f>VLOOKUP($A24,'Orginal data'!$A$2:$H$152,7,FALSE)</f>
        <v>4</v>
      </c>
      <c r="H24" s="148" t="str">
        <f>VLOOKUP($A24,'Orginal data'!$A$2:$H$152,8,FALSE)</f>
        <v>Unknown</v>
      </c>
    </row>
    <row r="25" spans="1:8">
      <c r="A25" s="150" t="s">
        <v>73</v>
      </c>
      <c r="B25" s="148" t="str">
        <f>VLOOKUP($A25,'Orginal data'!$A$2:$H$152,2,FALSE)</f>
        <v>Eve Adams</v>
      </c>
      <c r="C25" s="148" t="str">
        <f>VLOOKUP($A25,'Orginal data'!$A$2:$H$152,3,FALSE)</f>
        <v>Finance</v>
      </c>
      <c r="D25" s="148" t="str">
        <f>VLOOKUP($A25,'Orginal data'!$A$2:$H$152,4,FALSE)</f>
        <v>India</v>
      </c>
      <c r="E25" s="54">
        <f>VLOOKUP($A25,'Orginal data'!$A$2:$H$152,5,FALSE)</f>
        <v>38333</v>
      </c>
      <c r="F25" s="149">
        <f>VLOOKUP($A25,'Orginal data'!$A$2:$H$152,6,FALSE)</f>
        <v>42162</v>
      </c>
      <c r="G25" s="56">
        <f>VLOOKUP($A25,'Orginal data'!$A$2:$H$152,7,FALSE)</f>
        <v>5</v>
      </c>
      <c r="H25" s="148" t="str">
        <f>VLOOKUP($A25,'Orginal data'!$A$2:$H$152,8,FALSE)</f>
        <v>Unknown</v>
      </c>
    </row>
    <row r="26" spans="1:8">
      <c r="A26" s="150" t="s">
        <v>75</v>
      </c>
      <c r="B26" s="148" t="str">
        <f>VLOOKUP($A26,'Orginal data'!$A$2:$H$152,2,FALSE)</f>
        <v>Alice Brown</v>
      </c>
      <c r="C26" s="148" t="str">
        <f>VLOOKUP($A26,'Orginal data'!$A$2:$H$152,3,FALSE)</f>
        <v>Marketing</v>
      </c>
      <c r="D26" s="148" t="str">
        <f>VLOOKUP($A26,'Orginal data'!$A$2:$H$152,4,FALSE)</f>
        <v>UK</v>
      </c>
      <c r="E26" s="54">
        <f>VLOOKUP($A26,'Orginal data'!$A$2:$H$152,5,FALSE)</f>
        <v>36515</v>
      </c>
      <c r="F26" s="149">
        <f>VLOOKUP($A26,'Orginal data'!$A$2:$H$152,6,FALSE)</f>
        <v>42169</v>
      </c>
      <c r="G26" s="56">
        <f>VLOOKUP($A26,'Orginal data'!$A$2:$H$152,7,FALSE)</f>
        <v>3</v>
      </c>
      <c r="H26" s="148" t="str">
        <f>VLOOKUP($A26,'Orginal data'!$A$2:$H$152,8,FALSE)</f>
        <v>Male</v>
      </c>
    </row>
    <row r="27" spans="1:8">
      <c r="A27" s="150" t="s">
        <v>77</v>
      </c>
      <c r="B27" s="148" t="str">
        <f>VLOOKUP($A27,'Orginal data'!$A$2:$H$152,2,FALSE)</f>
        <v>Sam Wilson</v>
      </c>
      <c r="C27" s="148" t="str">
        <f>VLOOKUP($A27,'Orginal data'!$A$2:$H$152,3,FALSE)</f>
        <v>Finance</v>
      </c>
      <c r="D27" s="148" t="str">
        <f>VLOOKUP($A27,'Orginal data'!$A$2:$H$152,4,FALSE)</f>
        <v>Unknown</v>
      </c>
      <c r="E27" s="54">
        <f>VLOOKUP($A27,'Orginal data'!$A$2:$H$152,5,FALSE)</f>
        <v>91005</v>
      </c>
      <c r="F27" s="149">
        <f>VLOOKUP($A27,'Orginal data'!$A$2:$H$152,6,FALSE)</f>
        <v>42176</v>
      </c>
      <c r="G27" s="56">
        <f>VLOOKUP($A27,'Orginal data'!$A$2:$H$152,7,FALSE)</f>
        <v>1</v>
      </c>
      <c r="H27" s="148" t="str">
        <f>VLOOKUP($A27,'Orginal data'!$A$2:$H$152,8,FALSE)</f>
        <v>Other</v>
      </c>
    </row>
    <row r="28" spans="1:8">
      <c r="A28" s="150" t="s">
        <v>79</v>
      </c>
      <c r="B28" s="148" t="str">
        <f>VLOOKUP($A28,'Orginal data'!$A$2:$H$152,2,FALSE)</f>
        <v>Chris Lee</v>
      </c>
      <c r="C28" s="148" t="str">
        <f>VLOOKUP($A28,'Orginal data'!$A$2:$H$152,3,FALSE)</f>
        <v>Unknown</v>
      </c>
      <c r="D28" s="148" t="str">
        <f>VLOOKUP($A28,'Orginal data'!$A$2:$H$152,4,FALSE)</f>
        <v>Unknown</v>
      </c>
      <c r="E28" s="54">
        <f>VLOOKUP($A28,'Orginal data'!$A$2:$H$152,5,FALSE)</f>
        <v>52272</v>
      </c>
      <c r="F28" s="149">
        <f>VLOOKUP($A28,'Orginal data'!$A$2:$H$152,6,FALSE)</f>
        <v>42183</v>
      </c>
      <c r="G28" s="56">
        <f>VLOOKUP($A28,'Orginal data'!$A$2:$H$152,7,FALSE)</f>
        <v>3</v>
      </c>
      <c r="H28" s="148" t="str">
        <f>VLOOKUP($A28,'Orginal data'!$A$2:$H$152,8,FALSE)</f>
        <v>Unknown</v>
      </c>
    </row>
    <row r="29" spans="1:8">
      <c r="A29" s="150" t="s">
        <v>81</v>
      </c>
      <c r="B29" s="148" t="str">
        <f>VLOOKUP($A29,'Orginal data'!$A$2:$H$152,2,FALSE)</f>
        <v>Eve Adams</v>
      </c>
      <c r="C29" s="148" t="str">
        <f>VLOOKUP($A29,'Orginal data'!$A$2:$H$152,3,FALSE)</f>
        <v>Sales</v>
      </c>
      <c r="D29" s="148" t="str">
        <f>VLOOKUP($A29,'Orginal data'!$A$2:$H$152,4,FALSE)</f>
        <v>Germany</v>
      </c>
      <c r="E29" s="54">
        <f>VLOOKUP($A29,'Orginal data'!$A$2:$H$152,5,FALSE)</f>
        <v>76518</v>
      </c>
      <c r="F29" s="149">
        <f>VLOOKUP($A29,'Orginal data'!$A$2:$H$152,6,FALSE)</f>
        <v>42190</v>
      </c>
      <c r="G29" s="56">
        <f>VLOOKUP($A29,'Orginal data'!$A$2:$H$152,7,FALSE)</f>
        <v>2</v>
      </c>
      <c r="H29" s="148" t="str">
        <f>VLOOKUP($A29,'Orginal data'!$A$2:$H$152,8,FALSE)</f>
        <v>Female</v>
      </c>
    </row>
    <row r="30" spans="1:8">
      <c r="A30" s="150" t="s">
        <v>83</v>
      </c>
      <c r="B30" s="148" t="str">
        <f>VLOOKUP($A30,'Orginal data'!$A$2:$H$152,2,FALSE)</f>
        <v>Alice Brown</v>
      </c>
      <c r="C30" s="148" t="str">
        <f>VLOOKUP($A30,'Orginal data'!$A$2:$H$152,3,FALSE)</f>
        <v>IT</v>
      </c>
      <c r="D30" s="148" t="str">
        <f>VLOOKUP($A30,'Orginal data'!$A$2:$H$152,4,FALSE)</f>
        <v>UK</v>
      </c>
      <c r="E30" s="54">
        <f>VLOOKUP($A30,'Orginal data'!$A$2:$H$152,5,FALSE)</f>
        <v>41448</v>
      </c>
      <c r="F30" s="149">
        <f>VLOOKUP($A30,'Orginal data'!$A$2:$H$152,6,FALSE)</f>
        <v>42197</v>
      </c>
      <c r="G30" s="56">
        <f>VLOOKUP($A30,'Orginal data'!$A$2:$H$152,7,FALSE)</f>
        <v>3</v>
      </c>
      <c r="H30" s="148" t="str">
        <f>VLOOKUP($A30,'Orginal data'!$A$2:$H$152,8,FALSE)</f>
        <v>Other</v>
      </c>
    </row>
    <row r="31" spans="1:8">
      <c r="A31" s="150" t="s">
        <v>85</v>
      </c>
      <c r="B31" s="148" t="str">
        <f>VLOOKUP($A31,'Orginal data'!$A$2:$H$152,2,FALSE)</f>
        <v>John Doe</v>
      </c>
      <c r="C31" s="148" t="str">
        <f>VLOOKUP($A31,'Orginal data'!$A$2:$H$152,3,FALSE)</f>
        <v>HR</v>
      </c>
      <c r="D31" s="148" t="str">
        <f>VLOOKUP($A31,'Orginal data'!$A$2:$H$152,4,FALSE)</f>
        <v>UK</v>
      </c>
      <c r="E31" s="54">
        <f>VLOOKUP($A31,'Orginal data'!$A$2:$H$152,5,FALSE)</f>
        <v>49282</v>
      </c>
      <c r="F31" s="149">
        <f>VLOOKUP($A31,'Orginal data'!$A$2:$H$152,6,FALSE)</f>
        <v>42204</v>
      </c>
      <c r="G31" s="56">
        <f>VLOOKUP($A31,'Orginal data'!$A$2:$H$152,7,FALSE)</f>
        <v>2</v>
      </c>
      <c r="H31" s="148" t="str">
        <f>VLOOKUP($A31,'Orginal data'!$A$2:$H$152,8,FALSE)</f>
        <v>Female</v>
      </c>
    </row>
    <row r="32" spans="1:8">
      <c r="A32" s="150" t="s">
        <v>87</v>
      </c>
      <c r="B32" s="148" t="str">
        <f>VLOOKUP($A32,'Orginal data'!$A$2:$H$152,2,FALSE)</f>
        <v>Bob Johnson</v>
      </c>
      <c r="C32" s="148" t="str">
        <f>VLOOKUP($A32,'Orginal data'!$A$2:$H$152,3,FALSE)</f>
        <v>Marketing</v>
      </c>
      <c r="D32" s="148" t="str">
        <f>VLOOKUP($A32,'Orginal data'!$A$2:$H$152,4,FALSE)</f>
        <v>UK</v>
      </c>
      <c r="E32" s="54">
        <f>VLOOKUP($A32,'Orginal data'!$A$2:$H$152,5,FALSE)</f>
        <v>92959</v>
      </c>
      <c r="F32" s="149">
        <f>VLOOKUP($A32,'Orginal data'!$A$2:$H$152,6,FALSE)</f>
        <v>42211</v>
      </c>
      <c r="G32" s="56">
        <f>VLOOKUP($A32,'Orginal data'!$A$2:$H$152,7,FALSE)</f>
        <v>5</v>
      </c>
      <c r="H32" s="148" t="str">
        <f>VLOOKUP($A32,'Orginal data'!$A$2:$H$152,8,FALSE)</f>
        <v>Unknown</v>
      </c>
    </row>
    <row r="33" spans="1:8">
      <c r="A33" s="150" t="s">
        <v>89</v>
      </c>
      <c r="B33" s="148" t="str">
        <f>VLOOKUP($A33,'Orginal data'!$A$2:$H$152,2,FALSE)</f>
        <v>Unknown</v>
      </c>
      <c r="C33" s="148" t="str">
        <f>VLOOKUP($A33,'Orginal data'!$A$2:$H$152,3,FALSE)</f>
        <v>Marketing</v>
      </c>
      <c r="D33" s="148" t="str">
        <f>VLOOKUP($A33,'Orginal data'!$A$2:$H$152,4,FALSE)</f>
        <v>Unknown</v>
      </c>
      <c r="E33" s="54">
        <f>VLOOKUP($A33,'Orginal data'!$A$2:$H$152,5,FALSE)</f>
        <v>92259</v>
      </c>
      <c r="F33" s="149" t="str">
        <f>VLOOKUP($A33,'Orginal data'!$A$2:$H$152,6,FALSE)</f>
        <v>Unknown</v>
      </c>
      <c r="G33" s="56">
        <f>VLOOKUP($A33,'Orginal data'!$A$2:$H$152,7,FALSE)</f>
        <v>1</v>
      </c>
      <c r="H33" s="148" t="str">
        <f>VLOOKUP($A33,'Orginal data'!$A$2:$H$152,8,FALSE)</f>
        <v>Unknown</v>
      </c>
    </row>
    <row r="34" spans="1:8">
      <c r="A34" s="150" t="s">
        <v>91</v>
      </c>
      <c r="B34" s="148" t="str">
        <f>VLOOKUP($A34,'Orginal data'!$A$2:$H$152,2,FALSE)</f>
        <v>Eve Adams</v>
      </c>
      <c r="C34" s="148" t="str">
        <f>VLOOKUP($A34,'Orginal data'!$A$2:$H$152,3,FALSE)</f>
        <v>HR</v>
      </c>
      <c r="D34" s="148" t="str">
        <f>VLOOKUP($A34,'Orginal data'!$A$2:$H$152,4,FALSE)</f>
        <v>Germany</v>
      </c>
      <c r="E34" s="54">
        <f>VLOOKUP($A34,'Orginal data'!$A$2:$H$152,5,FALSE)</f>
        <v>92299</v>
      </c>
      <c r="F34" s="149">
        <f>VLOOKUP($A34,'Orginal data'!$A$2:$H$152,6,FALSE)</f>
        <v>42225</v>
      </c>
      <c r="G34" s="56">
        <f>VLOOKUP($A34,'Orginal data'!$A$2:$H$152,7,FALSE)</f>
        <v>3</v>
      </c>
      <c r="H34" s="148" t="str">
        <f>VLOOKUP($A34,'Orginal data'!$A$2:$H$152,8,FALSE)</f>
        <v>Male</v>
      </c>
    </row>
    <row r="35" spans="1:8">
      <c r="A35" s="150" t="s">
        <v>93</v>
      </c>
      <c r="B35" s="148" t="str">
        <f>VLOOKUP($A35,'Orginal data'!$A$2:$H$152,2,FALSE)</f>
        <v>Sam Wilson</v>
      </c>
      <c r="C35" s="148" t="str">
        <f>VLOOKUP($A35,'Orginal data'!$A$2:$H$152,3,FALSE)</f>
        <v>HR</v>
      </c>
      <c r="D35" s="148" t="str">
        <f>VLOOKUP($A35,'Orginal data'!$A$2:$H$152,4,FALSE)</f>
        <v>Unknown</v>
      </c>
      <c r="E35" s="54">
        <f>VLOOKUP($A35,'Orginal data'!$A$2:$H$152,5,FALSE)</f>
        <v>95586</v>
      </c>
      <c r="F35" s="149">
        <f>VLOOKUP($A35,'Orginal data'!$A$2:$H$152,6,FALSE)</f>
        <v>42232</v>
      </c>
      <c r="G35" s="56">
        <f>VLOOKUP($A35,'Orginal data'!$A$2:$H$152,7,FALSE)</f>
        <v>3</v>
      </c>
      <c r="H35" s="148" t="str">
        <f>VLOOKUP($A35,'Orginal data'!$A$2:$H$152,8,FALSE)</f>
        <v>Other</v>
      </c>
    </row>
    <row r="36" spans="1:8">
      <c r="A36" s="150" t="s">
        <v>95</v>
      </c>
      <c r="B36" s="148" t="str">
        <f>VLOOKUP($A36,'Orginal data'!$A$2:$H$152,2,FALSE)</f>
        <v>Chris Lee</v>
      </c>
      <c r="C36" s="148" t="str">
        <f>VLOOKUP($A36,'Orginal data'!$A$2:$H$152,3,FALSE)</f>
        <v>Unknown</v>
      </c>
      <c r="D36" s="148" t="str">
        <f>VLOOKUP($A36,'Orginal data'!$A$2:$H$152,4,FALSE)</f>
        <v>USA</v>
      </c>
      <c r="E36" s="54">
        <f>VLOOKUP($A36,'Orginal data'!$A$2:$H$152,5,FALSE)</f>
        <v>95367</v>
      </c>
      <c r="F36" s="149">
        <f>VLOOKUP($A36,'Orginal data'!$A$2:$H$152,6,FALSE)</f>
        <v>42239</v>
      </c>
      <c r="G36" s="56">
        <f>VLOOKUP($A36,'Orginal data'!$A$2:$H$152,7,FALSE)</f>
        <v>2.9381443298969074</v>
      </c>
      <c r="H36" s="148" t="str">
        <f>VLOOKUP($A36,'Orginal data'!$A$2:$H$152,8,FALSE)</f>
        <v>Male</v>
      </c>
    </row>
    <row r="37" spans="1:8">
      <c r="A37" s="150" t="s">
        <v>97</v>
      </c>
      <c r="B37" s="148" t="str">
        <f>VLOOKUP($A37,'Orginal data'!$A$2:$H$152,2,FALSE)</f>
        <v>John Doe</v>
      </c>
      <c r="C37" s="148" t="str">
        <f>VLOOKUP($A37,'Orginal data'!$A$2:$H$152,3,FALSE)</f>
        <v>Sales</v>
      </c>
      <c r="D37" s="148" t="str">
        <f>VLOOKUP($A37,'Orginal data'!$A$2:$H$152,4,FALSE)</f>
        <v>Australia</v>
      </c>
      <c r="E37" s="54">
        <f>VLOOKUP($A37,'Orginal data'!$A$2:$H$152,5,FALSE)</f>
        <v>79549</v>
      </c>
      <c r="F37" s="149">
        <f>VLOOKUP($A37,'Orginal data'!$A$2:$H$152,6,FALSE)</f>
        <v>42246</v>
      </c>
      <c r="G37" s="56">
        <f>VLOOKUP($A37,'Orginal data'!$A$2:$H$152,7,FALSE)</f>
        <v>3</v>
      </c>
      <c r="H37" s="148" t="str">
        <f>VLOOKUP($A37,'Orginal data'!$A$2:$H$152,8,FALSE)</f>
        <v>Unknown</v>
      </c>
    </row>
    <row r="38" spans="1:8">
      <c r="A38" s="150" t="s">
        <v>99</v>
      </c>
      <c r="B38" s="148" t="str">
        <f>VLOOKUP($A38,'Orginal data'!$A$2:$H$152,2,FALSE)</f>
        <v>Alice Brown</v>
      </c>
      <c r="C38" s="148" t="str">
        <f>VLOOKUP($A38,'Orginal data'!$A$2:$H$152,3,FALSE)</f>
        <v>Unknown</v>
      </c>
      <c r="D38" s="148" t="str">
        <f>VLOOKUP($A38,'Orginal data'!$A$2:$H$152,4,FALSE)</f>
        <v>UK</v>
      </c>
      <c r="E38" s="54">
        <f>VLOOKUP($A38,'Orginal data'!$A$2:$H$152,5,FALSE)</f>
        <v>54463</v>
      </c>
      <c r="F38" s="149">
        <f>VLOOKUP($A38,'Orginal data'!$A$2:$H$152,6,FALSE)</f>
        <v>42253</v>
      </c>
      <c r="G38" s="56">
        <f>VLOOKUP($A38,'Orginal data'!$A$2:$H$152,7,FALSE)</f>
        <v>4</v>
      </c>
      <c r="H38" s="148" t="str">
        <f>VLOOKUP($A38,'Orginal data'!$A$2:$H$152,8,FALSE)</f>
        <v>Male</v>
      </c>
    </row>
    <row r="39" spans="1:8">
      <c r="A39" s="150" t="s">
        <v>100</v>
      </c>
      <c r="B39" s="148" t="str">
        <f>VLOOKUP($A39,'Orginal data'!$A$2:$H$152,2,FALSE)</f>
        <v>Alice Brown</v>
      </c>
      <c r="C39" s="148" t="str">
        <f>VLOOKUP($A39,'Orginal data'!$A$2:$H$152,3,FALSE)</f>
        <v>IT</v>
      </c>
      <c r="D39" s="148" t="str">
        <f>VLOOKUP($A39,'Orginal data'!$A$2:$H$152,4,FALSE)</f>
        <v>USA</v>
      </c>
      <c r="E39" s="54">
        <f>VLOOKUP($A39,'Orginal data'!$A$2:$H$152,5,FALSE)</f>
        <v>89781</v>
      </c>
      <c r="F39" s="149">
        <f>VLOOKUP($A39,'Orginal data'!$A$2:$H$152,6,FALSE)</f>
        <v>42260</v>
      </c>
      <c r="G39" s="56">
        <f>VLOOKUP($A39,'Orginal data'!$A$2:$H$152,7,FALSE)</f>
        <v>2.9263157894736844</v>
      </c>
      <c r="H39" s="148" t="str">
        <f>VLOOKUP($A39,'Orginal data'!$A$2:$H$152,8,FALSE)</f>
        <v>Female</v>
      </c>
    </row>
    <row r="40" spans="1:8">
      <c r="A40" s="150" t="s">
        <v>102</v>
      </c>
      <c r="B40" s="148" t="str">
        <f>VLOOKUP($A40,'Orginal data'!$A$2:$H$152,2,FALSE)</f>
        <v>Alice Brown</v>
      </c>
      <c r="C40" s="148" t="str">
        <f>VLOOKUP($A40,'Orginal data'!$A$2:$H$152,3,FALSE)</f>
        <v>HR</v>
      </c>
      <c r="D40" s="148" t="str">
        <f>VLOOKUP($A40,'Orginal data'!$A$2:$H$152,4,FALSE)</f>
        <v>Unknown</v>
      </c>
      <c r="E40" s="54">
        <f>VLOOKUP($A40,'Orginal data'!$A$2:$H$152,5,FALSE)</f>
        <v>64796</v>
      </c>
      <c r="F40" s="149">
        <f>VLOOKUP($A40,'Orginal data'!$A$2:$H$152,6,FALSE)</f>
        <v>42267</v>
      </c>
      <c r="G40" s="56">
        <f>VLOOKUP($A40,'Orginal data'!$A$2:$H$152,7,FALSE)</f>
        <v>2.9263157894736844</v>
      </c>
      <c r="H40" s="148" t="str">
        <f>VLOOKUP($A40,'Orginal data'!$A$2:$H$152,8,FALSE)</f>
        <v>Other</v>
      </c>
    </row>
    <row r="41" spans="1:8">
      <c r="A41" s="150" t="s">
        <v>104</v>
      </c>
      <c r="B41" s="148" t="str">
        <f>VLOOKUP($A41,'Orginal data'!$A$2:$H$152,2,FALSE)</f>
        <v>John Doe</v>
      </c>
      <c r="C41" s="148" t="str">
        <f>VLOOKUP($A41,'Orginal data'!$A$2:$H$152,3,FALSE)</f>
        <v>Marketing</v>
      </c>
      <c r="D41" s="148" t="str">
        <f>VLOOKUP($A41,'Orginal data'!$A$2:$H$152,4,FALSE)</f>
        <v>UK</v>
      </c>
      <c r="E41" s="54">
        <f>VLOOKUP($A41,'Orginal data'!$A$2:$H$152,5,FALSE)</f>
        <v>52093</v>
      </c>
      <c r="F41" s="149">
        <f>VLOOKUP($A41,'Orginal data'!$A$2:$H$152,6,FALSE)</f>
        <v>42274</v>
      </c>
      <c r="G41" s="56">
        <f>VLOOKUP($A41,'Orginal data'!$A$2:$H$152,7,FALSE)</f>
        <v>5</v>
      </c>
      <c r="H41" s="148" t="str">
        <f>VLOOKUP($A41,'Orginal data'!$A$2:$H$152,8,FALSE)</f>
        <v>Unknown</v>
      </c>
    </row>
    <row r="42" spans="1:8">
      <c r="A42" s="150" t="s">
        <v>106</v>
      </c>
      <c r="B42" s="148" t="str">
        <f>VLOOKUP($A42,'Orginal data'!$A$2:$H$152,2,FALSE)</f>
        <v>Chris Lee</v>
      </c>
      <c r="C42" s="148" t="str">
        <f>VLOOKUP($A42,'Orginal data'!$A$2:$H$152,3,FALSE)</f>
        <v>HR</v>
      </c>
      <c r="D42" s="148" t="str">
        <f>VLOOKUP($A42,'Orginal data'!$A$2:$H$152,4,FALSE)</f>
        <v>UK</v>
      </c>
      <c r="E42" s="54">
        <f>VLOOKUP($A42,'Orginal data'!$A$2:$H$152,5,FALSE)</f>
        <v>48224</v>
      </c>
      <c r="F42" s="149">
        <f>VLOOKUP($A42,'Orginal data'!$A$2:$H$152,6,FALSE)</f>
        <v>42281</v>
      </c>
      <c r="G42" s="56">
        <f>VLOOKUP($A42,'Orginal data'!$A$2:$H$152,7,FALSE)</f>
        <v>3</v>
      </c>
      <c r="H42" s="148" t="str">
        <f>VLOOKUP($A42,'Orginal data'!$A$2:$H$152,8,FALSE)</f>
        <v>Unknown</v>
      </c>
    </row>
    <row r="43" spans="1:8">
      <c r="A43" s="150" t="s">
        <v>108</v>
      </c>
      <c r="B43" s="148" t="str">
        <f>VLOOKUP($A43,'Orginal data'!$A$2:$H$152,2,FALSE)</f>
        <v>Bob Johnson</v>
      </c>
      <c r="C43" s="148" t="str">
        <f>VLOOKUP($A43,'Orginal data'!$A$2:$H$152,3,FALSE)</f>
        <v>Finance</v>
      </c>
      <c r="D43" s="148" t="str">
        <f>VLOOKUP($A43,'Orginal data'!$A$2:$H$152,4,FALSE)</f>
        <v>UK</v>
      </c>
      <c r="E43" s="54">
        <f>VLOOKUP($A43,'Orginal data'!$A$2:$H$152,5,FALSE)</f>
        <v>64268.634615384617</v>
      </c>
      <c r="F43" s="149" t="str">
        <f>VLOOKUP($A43,'Orginal data'!$A$2:$H$152,6,FALSE)</f>
        <v>Unknown</v>
      </c>
      <c r="G43" s="56">
        <f>VLOOKUP($A43,'Orginal data'!$A$2:$H$152,7,FALSE)</f>
        <v>4</v>
      </c>
      <c r="H43" s="148" t="str">
        <f>VLOOKUP($A43,'Orginal data'!$A$2:$H$152,8,FALSE)</f>
        <v>Female</v>
      </c>
    </row>
    <row r="44" spans="1:8">
      <c r="A44" s="150" t="s">
        <v>110</v>
      </c>
      <c r="B44" s="148" t="str">
        <f>VLOOKUP($A44,'Orginal data'!$A$2:$H$152,2,FALSE)</f>
        <v>Alice Brown</v>
      </c>
      <c r="C44" s="148" t="str">
        <f>VLOOKUP($A44,'Orginal data'!$A$2:$H$152,3,FALSE)</f>
        <v>IT</v>
      </c>
      <c r="D44" s="148" t="str">
        <f>VLOOKUP($A44,'Orginal data'!$A$2:$H$152,4,FALSE)</f>
        <v>Germany</v>
      </c>
      <c r="E44" s="54">
        <f>VLOOKUP($A44,'Orginal data'!$A$2:$H$152,5,FALSE)</f>
        <v>33956</v>
      </c>
      <c r="F44" s="149">
        <f>VLOOKUP($A44,'Orginal data'!$A$2:$H$152,6,FALSE)</f>
        <v>42295</v>
      </c>
      <c r="G44" s="56">
        <f>VLOOKUP($A44,'Orginal data'!$A$2:$H$152,7,FALSE)</f>
        <v>2.8913043478260869</v>
      </c>
      <c r="H44" s="148" t="str">
        <f>VLOOKUP($A44,'Orginal data'!$A$2:$H$152,8,FALSE)</f>
        <v>Unknown</v>
      </c>
    </row>
    <row r="45" spans="1:8">
      <c r="A45" s="150" t="s">
        <v>112</v>
      </c>
      <c r="B45" s="148" t="str">
        <f>VLOOKUP($A45,'Orginal data'!$A$2:$H$152,2,FALSE)</f>
        <v>Bob Johnson</v>
      </c>
      <c r="C45" s="148" t="str">
        <f>VLOOKUP($A45,'Orginal data'!$A$2:$H$152,3,FALSE)</f>
        <v>Unknown</v>
      </c>
      <c r="D45" s="148" t="str">
        <f>VLOOKUP($A45,'Orginal data'!$A$2:$H$152,4,FALSE)</f>
        <v>Australia</v>
      </c>
      <c r="E45" s="54">
        <f>VLOOKUP($A45,'Orginal data'!$A$2:$H$152,5,FALSE)</f>
        <v>64913</v>
      </c>
      <c r="F45" s="149">
        <f>VLOOKUP($A45,'Orginal data'!$A$2:$H$152,6,FALSE)</f>
        <v>42302</v>
      </c>
      <c r="G45" s="56">
        <f>VLOOKUP($A45,'Orginal data'!$A$2:$H$152,7,FALSE)</f>
        <v>1</v>
      </c>
      <c r="H45" s="148" t="str">
        <f>VLOOKUP($A45,'Orginal data'!$A$2:$H$152,8,FALSE)</f>
        <v>Female</v>
      </c>
    </row>
    <row r="46" spans="1:8">
      <c r="A46" s="150" t="s">
        <v>114</v>
      </c>
      <c r="B46" s="148" t="str">
        <f>VLOOKUP($A46,'Orginal data'!$A$2:$H$152,2,FALSE)</f>
        <v>Alice Brown</v>
      </c>
      <c r="C46" s="148" t="str">
        <f>VLOOKUP($A46,'Orginal data'!$A$2:$H$152,3,FALSE)</f>
        <v>Marketing</v>
      </c>
      <c r="D46" s="148" t="str">
        <f>VLOOKUP($A46,'Orginal data'!$A$2:$H$152,4,FALSE)</f>
        <v>Australia</v>
      </c>
      <c r="E46" s="54">
        <f>VLOOKUP($A46,'Orginal data'!$A$2:$H$152,5,FALSE)</f>
        <v>35326</v>
      </c>
      <c r="F46" s="149">
        <f>VLOOKUP($A46,'Orginal data'!$A$2:$H$152,6,FALSE)</f>
        <v>42309</v>
      </c>
      <c r="G46" s="56">
        <f>VLOOKUP($A46,'Orginal data'!$A$2:$H$152,7,FALSE)</f>
        <v>2.912087912087912</v>
      </c>
      <c r="H46" s="148" t="str">
        <f>VLOOKUP($A46,'Orginal data'!$A$2:$H$152,8,FALSE)</f>
        <v>Female</v>
      </c>
    </row>
    <row r="47" spans="1:8">
      <c r="A47" s="150" t="s">
        <v>116</v>
      </c>
      <c r="B47" s="148" t="str">
        <f>VLOOKUP($A47,'Orginal data'!$A$2:$H$152,2,FALSE)</f>
        <v>Chris Lee</v>
      </c>
      <c r="C47" s="148" t="str">
        <f>VLOOKUP($A47,'Orginal data'!$A$2:$H$152,3,FALSE)</f>
        <v>Finance</v>
      </c>
      <c r="D47" s="148" t="str">
        <f>VLOOKUP($A47,'Orginal data'!$A$2:$H$152,4,FALSE)</f>
        <v>Unknown</v>
      </c>
      <c r="E47" s="54">
        <f>VLOOKUP($A47,'Orginal data'!$A$2:$H$152,5,FALSE)</f>
        <v>81610</v>
      </c>
      <c r="F47" s="149">
        <f>VLOOKUP($A47,'Orginal data'!$A$2:$H$152,6,FALSE)</f>
        <v>42316</v>
      </c>
      <c r="G47" s="56">
        <f>VLOOKUP($A47,'Orginal data'!$A$2:$H$152,7,FALSE)</f>
        <v>1</v>
      </c>
      <c r="H47" s="148" t="str">
        <f>VLOOKUP($A47,'Orginal data'!$A$2:$H$152,8,FALSE)</f>
        <v>Unknown</v>
      </c>
    </row>
    <row r="48" spans="1:8">
      <c r="A48" s="150" t="s">
        <v>118</v>
      </c>
      <c r="B48" s="148" t="str">
        <f>VLOOKUP($A48,'Orginal data'!$A$2:$H$152,2,FALSE)</f>
        <v>Unknown</v>
      </c>
      <c r="C48" s="148" t="str">
        <f>VLOOKUP($A48,'Orginal data'!$A$2:$H$152,3,FALSE)</f>
        <v>HR</v>
      </c>
      <c r="D48" s="148" t="str">
        <f>VLOOKUP($A48,'Orginal data'!$A$2:$H$152,4,FALSE)</f>
        <v>Unknown</v>
      </c>
      <c r="E48" s="54">
        <f>VLOOKUP($A48,'Orginal data'!$A$2:$H$152,5,FALSE)</f>
        <v>58962</v>
      </c>
      <c r="F48" s="149">
        <f>VLOOKUP($A48,'Orginal data'!$A$2:$H$152,6,FALSE)</f>
        <v>42323</v>
      </c>
      <c r="G48" s="56">
        <f>VLOOKUP($A48,'Orginal data'!$A$2:$H$152,7,FALSE)</f>
        <v>3</v>
      </c>
      <c r="H48" s="148" t="str">
        <f>VLOOKUP($A48,'Orginal data'!$A$2:$H$152,8,FALSE)</f>
        <v>Other</v>
      </c>
    </row>
    <row r="49" spans="1:8">
      <c r="A49" s="150" t="s">
        <v>119</v>
      </c>
      <c r="B49" s="148" t="str">
        <f>VLOOKUP($A49,'Orginal data'!$A$2:$H$152,2,FALSE)</f>
        <v>Chris Lee</v>
      </c>
      <c r="C49" s="148" t="str">
        <f>VLOOKUP($A49,'Orginal data'!$A$2:$H$152,3,FALSE)</f>
        <v>IT</v>
      </c>
      <c r="D49" s="148" t="str">
        <f>VLOOKUP($A49,'Orginal data'!$A$2:$H$152,4,FALSE)</f>
        <v>Germany</v>
      </c>
      <c r="E49" s="54">
        <f>VLOOKUP($A49,'Orginal data'!$A$2:$H$152,5,FALSE)</f>
        <v>92701</v>
      </c>
      <c r="F49" s="149">
        <f>VLOOKUP($A49,'Orginal data'!$A$2:$H$152,6,FALSE)</f>
        <v>42330</v>
      </c>
      <c r="G49" s="56">
        <f>VLOOKUP($A49,'Orginal data'!$A$2:$H$152,7,FALSE)</f>
        <v>3</v>
      </c>
      <c r="H49" s="148" t="str">
        <f>VLOOKUP($A49,'Orginal data'!$A$2:$H$152,8,FALSE)</f>
        <v>Other</v>
      </c>
    </row>
    <row r="50" spans="1:8">
      <c r="A50" s="150" t="s">
        <v>121</v>
      </c>
      <c r="B50" s="148" t="str">
        <f>VLOOKUP($A50,'Orginal data'!$A$2:$H$152,2,FALSE)</f>
        <v>Chris Lee</v>
      </c>
      <c r="C50" s="148" t="str">
        <f>VLOOKUP($A50,'Orginal data'!$A$2:$H$152,3,FALSE)</f>
        <v>HR</v>
      </c>
      <c r="D50" s="148" t="str">
        <f>VLOOKUP($A50,'Orginal data'!$A$2:$H$152,4,FALSE)</f>
        <v>India</v>
      </c>
      <c r="E50" s="54">
        <f>VLOOKUP($A50,'Orginal data'!$A$2:$H$152,5,FALSE)</f>
        <v>58245</v>
      </c>
      <c r="F50" s="149">
        <f>VLOOKUP($A50,'Orginal data'!$A$2:$H$152,6,FALSE)</f>
        <v>42337</v>
      </c>
      <c r="G50" s="56">
        <f>VLOOKUP($A50,'Orginal data'!$A$2:$H$152,7,FALSE)</f>
        <v>4</v>
      </c>
      <c r="H50" s="148" t="str">
        <f>VLOOKUP($A50,'Orginal data'!$A$2:$H$152,8,FALSE)</f>
        <v>Unknown</v>
      </c>
    </row>
    <row r="51" spans="1:8">
      <c r="A51" s="150" t="s">
        <v>123</v>
      </c>
      <c r="B51" s="148" t="str">
        <f>VLOOKUP($A51,'Orginal data'!$A$2:$H$152,2,FALSE)</f>
        <v>John Doe</v>
      </c>
      <c r="C51" s="148" t="str">
        <f>VLOOKUP($A51,'Orginal data'!$A$2:$H$152,3,FALSE)</f>
        <v>Finance</v>
      </c>
      <c r="D51" s="148" t="str">
        <f>VLOOKUP($A51,'Orginal data'!$A$2:$H$152,4,FALSE)</f>
        <v>Unknown</v>
      </c>
      <c r="E51" s="54">
        <f>VLOOKUP($A51,'Orginal data'!$A$2:$H$152,5,FALSE)</f>
        <v>66513</v>
      </c>
      <c r="F51" s="149">
        <f>VLOOKUP($A51,'Orginal data'!$A$2:$H$152,6,FALSE)</f>
        <v>42344</v>
      </c>
      <c r="G51" s="56">
        <f>VLOOKUP($A51,'Orginal data'!$A$2:$H$152,7,FALSE)</f>
        <v>2</v>
      </c>
      <c r="H51" s="148" t="str">
        <f>VLOOKUP($A51,'Orginal data'!$A$2:$H$152,8,FALSE)</f>
        <v>Other</v>
      </c>
    </row>
    <row r="52" spans="1:8">
      <c r="A52" s="150" t="s">
        <v>124</v>
      </c>
      <c r="B52" s="148" t="str">
        <f>VLOOKUP($A52,'Orginal data'!$A$2:$H$152,2,FALSE)</f>
        <v>Eve Adams</v>
      </c>
      <c r="C52" s="148" t="str">
        <f>VLOOKUP($A52,'Orginal data'!$A$2:$H$152,3,FALSE)</f>
        <v>HR</v>
      </c>
      <c r="D52" s="148" t="str">
        <f>VLOOKUP($A52,'Orginal data'!$A$2:$H$152,4,FALSE)</f>
        <v>Germany</v>
      </c>
      <c r="E52" s="54">
        <f>VLOOKUP($A52,'Orginal data'!$A$2:$H$152,5,FALSE)</f>
        <v>78720</v>
      </c>
      <c r="F52" s="149">
        <f>VLOOKUP($A52,'Orginal data'!$A$2:$H$152,6,FALSE)</f>
        <v>42351</v>
      </c>
      <c r="G52" s="56">
        <f>VLOOKUP($A52,'Orginal data'!$A$2:$H$152,7,FALSE)</f>
        <v>5</v>
      </c>
      <c r="H52" s="148" t="str">
        <f>VLOOKUP($A52,'Orginal data'!$A$2:$H$152,8,FALSE)</f>
        <v>Female</v>
      </c>
    </row>
    <row r="53" spans="1:8">
      <c r="A53" s="150" t="s">
        <v>125</v>
      </c>
      <c r="B53" s="148" t="str">
        <f>VLOOKUP($A53,'Orginal data'!$A$2:$H$152,2,FALSE)</f>
        <v>Chris Lee</v>
      </c>
      <c r="C53" s="148" t="str">
        <f>VLOOKUP($A53,'Orginal data'!$A$2:$H$152,3,FALSE)</f>
        <v>Unknown</v>
      </c>
      <c r="D53" s="148" t="str">
        <f>VLOOKUP($A53,'Orginal data'!$A$2:$H$152,4,FALSE)</f>
        <v>Unknown</v>
      </c>
      <c r="E53" s="54">
        <f>VLOOKUP($A53,'Orginal data'!$A$2:$H$152,5,FALSE)</f>
        <v>30686</v>
      </c>
      <c r="F53" s="149" t="str">
        <f>VLOOKUP($A53,'Orginal data'!$A$2:$H$152,6,FALSE)</f>
        <v>Unknown</v>
      </c>
      <c r="G53" s="56">
        <f>VLOOKUP($A53,'Orginal data'!$A$2:$H$152,7,FALSE)</f>
        <v>2</v>
      </c>
      <c r="H53" s="148" t="str">
        <f>VLOOKUP($A53,'Orginal data'!$A$2:$H$152,8,FALSE)</f>
        <v>Female</v>
      </c>
    </row>
    <row r="54" spans="1:8">
      <c r="A54" s="150" t="s">
        <v>127</v>
      </c>
      <c r="B54" s="148" t="str">
        <f>VLOOKUP($A54,'Orginal data'!$A$2:$H$152,2,FALSE)</f>
        <v>Sam Wilson</v>
      </c>
      <c r="C54" s="148" t="str">
        <f>VLOOKUP($A54,'Orginal data'!$A$2:$H$152,3,FALSE)</f>
        <v>Sales</v>
      </c>
      <c r="D54" s="148" t="str">
        <f>VLOOKUP($A54,'Orginal data'!$A$2:$H$152,4,FALSE)</f>
        <v>India</v>
      </c>
      <c r="E54" s="54">
        <f>VLOOKUP($A54,'Orginal data'!$A$2:$H$152,5,FALSE)</f>
        <v>39423</v>
      </c>
      <c r="F54" s="149">
        <f>VLOOKUP($A54,'Orginal data'!$A$2:$H$152,6,FALSE)</f>
        <v>42365</v>
      </c>
      <c r="G54" s="56">
        <f>VLOOKUP($A54,'Orginal data'!$A$2:$H$152,7,FALSE)</f>
        <v>5</v>
      </c>
      <c r="H54" s="148" t="str">
        <f>VLOOKUP($A54,'Orginal data'!$A$2:$H$152,8,FALSE)</f>
        <v>Unknown</v>
      </c>
    </row>
    <row r="55" spans="1:8">
      <c r="A55" s="150" t="s">
        <v>129</v>
      </c>
      <c r="B55" s="148" t="str">
        <f>VLOOKUP($A55,'Orginal data'!$A$2:$H$152,2,FALSE)</f>
        <v>Eve Adams</v>
      </c>
      <c r="C55" s="148" t="str">
        <f>VLOOKUP($A55,'Orginal data'!$A$2:$H$152,3,FALSE)</f>
        <v>Marketing</v>
      </c>
      <c r="D55" s="148" t="str">
        <f>VLOOKUP($A55,'Orginal data'!$A$2:$H$152,4,FALSE)</f>
        <v>Unknown</v>
      </c>
      <c r="E55" s="54">
        <f>VLOOKUP($A55,'Orginal data'!$A$2:$H$152,5,FALSE)</f>
        <v>30280</v>
      </c>
      <c r="F55" s="149">
        <f>VLOOKUP($A55,'Orginal data'!$A$2:$H$152,6,FALSE)</f>
        <v>42372</v>
      </c>
      <c r="G55" s="56">
        <f>VLOOKUP($A55,'Orginal data'!$A$2:$H$152,7,FALSE)</f>
        <v>1</v>
      </c>
      <c r="H55" s="148" t="str">
        <f>VLOOKUP($A55,'Orginal data'!$A$2:$H$152,8,FALSE)</f>
        <v>Unknown</v>
      </c>
    </row>
    <row r="56" spans="1:8">
      <c r="A56" s="150" t="s">
        <v>131</v>
      </c>
      <c r="B56" s="148" t="str">
        <f>VLOOKUP($A56,'Orginal data'!$A$2:$H$152,2,FALSE)</f>
        <v>Eve Adams</v>
      </c>
      <c r="C56" s="148" t="str">
        <f>VLOOKUP($A56,'Orginal data'!$A$2:$H$152,3,FALSE)</f>
        <v>Finance</v>
      </c>
      <c r="D56" s="148" t="str">
        <f>VLOOKUP($A56,'Orginal data'!$A$2:$H$152,4,FALSE)</f>
        <v>UK</v>
      </c>
      <c r="E56" s="54">
        <f>VLOOKUP($A56,'Orginal data'!$A$2:$H$152,5,FALSE)</f>
        <v>33352</v>
      </c>
      <c r="F56" s="149">
        <f>VLOOKUP($A56,'Orginal data'!$A$2:$H$152,6,FALSE)</f>
        <v>42379</v>
      </c>
      <c r="G56" s="56">
        <f>VLOOKUP($A56,'Orginal data'!$A$2:$H$152,7,FALSE)</f>
        <v>3</v>
      </c>
      <c r="H56" s="148" t="str">
        <f>VLOOKUP($A56,'Orginal data'!$A$2:$H$152,8,FALSE)</f>
        <v>Female</v>
      </c>
    </row>
    <row r="57" spans="1:8">
      <c r="A57" s="150" t="s">
        <v>132</v>
      </c>
      <c r="B57" s="148" t="str">
        <f>VLOOKUP($A57,'Orginal data'!$A$2:$H$152,2,FALSE)</f>
        <v>Bob Johnson</v>
      </c>
      <c r="C57" s="148" t="str">
        <f>VLOOKUP($A57,'Orginal data'!$A$2:$H$152,3,FALSE)</f>
        <v>Marketing</v>
      </c>
      <c r="D57" s="148" t="str">
        <f>VLOOKUP($A57,'Orginal data'!$A$2:$H$152,4,FALSE)</f>
        <v>UK</v>
      </c>
      <c r="E57" s="54">
        <f>VLOOKUP($A57,'Orginal data'!$A$2:$H$152,5,FALSE)</f>
        <v>75633</v>
      </c>
      <c r="F57" s="149">
        <f>VLOOKUP($A57,'Orginal data'!$A$2:$H$152,6,FALSE)</f>
        <v>42386</v>
      </c>
      <c r="G57" s="56">
        <f>VLOOKUP($A57,'Orginal data'!$A$2:$H$152,7,FALSE)</f>
        <v>5</v>
      </c>
      <c r="H57" s="148" t="str">
        <f>VLOOKUP($A57,'Orginal data'!$A$2:$H$152,8,FALSE)</f>
        <v>Other</v>
      </c>
    </row>
    <row r="58" spans="1:8">
      <c r="A58" s="150" t="s">
        <v>134</v>
      </c>
      <c r="B58" s="148" t="str">
        <f>VLOOKUP($A58,'Orginal data'!$A$2:$H$152,2,FALSE)</f>
        <v>Chris Lee</v>
      </c>
      <c r="C58" s="148" t="str">
        <f>VLOOKUP($A58,'Orginal data'!$A$2:$H$152,3,FALSE)</f>
        <v>Unknown</v>
      </c>
      <c r="D58" s="148" t="str">
        <f>VLOOKUP($A58,'Orginal data'!$A$2:$H$152,4,FALSE)</f>
        <v>USA</v>
      </c>
      <c r="E58" s="54">
        <f>VLOOKUP($A58,'Orginal data'!$A$2:$H$152,5,FALSE)</f>
        <v>74815</v>
      </c>
      <c r="F58" s="149">
        <f>VLOOKUP($A58,'Orginal data'!$A$2:$H$152,6,FALSE)</f>
        <v>42393</v>
      </c>
      <c r="G58" s="56">
        <f>VLOOKUP($A58,'Orginal data'!$A$2:$H$152,7,FALSE)</f>
        <v>5</v>
      </c>
      <c r="H58" s="148" t="str">
        <f>VLOOKUP($A58,'Orginal data'!$A$2:$H$152,8,FALSE)</f>
        <v>Female</v>
      </c>
    </row>
    <row r="59" spans="1:8">
      <c r="A59" s="150" t="s">
        <v>136</v>
      </c>
      <c r="B59" s="148" t="str">
        <f>VLOOKUP($A59,'Orginal data'!$A$2:$H$152,2,FALSE)</f>
        <v>John Doe</v>
      </c>
      <c r="C59" s="148" t="str">
        <f>VLOOKUP($A59,'Orginal data'!$A$2:$H$152,3,FALSE)</f>
        <v>Sales</v>
      </c>
      <c r="D59" s="148" t="str">
        <f>VLOOKUP($A59,'Orginal data'!$A$2:$H$152,4,FALSE)</f>
        <v>Australia</v>
      </c>
      <c r="E59" s="54">
        <f>VLOOKUP($A59,'Orginal data'!$A$2:$H$152,5,FALSE)</f>
        <v>60011</v>
      </c>
      <c r="F59" s="149">
        <f>VLOOKUP($A59,'Orginal data'!$A$2:$H$152,6,FALSE)</f>
        <v>42400</v>
      </c>
      <c r="G59" s="56">
        <f>VLOOKUP($A59,'Orginal data'!$A$2:$H$152,7,FALSE)</f>
        <v>1</v>
      </c>
      <c r="H59" s="148" t="str">
        <f>VLOOKUP($A59,'Orginal data'!$A$2:$H$152,8,FALSE)</f>
        <v>Male</v>
      </c>
    </row>
    <row r="60" spans="1:8">
      <c r="A60" s="150" t="s">
        <v>138</v>
      </c>
      <c r="B60" s="148" t="str">
        <f>VLOOKUP($A60,'Orginal data'!$A$2:$H$152,2,FALSE)</f>
        <v>Eve Adams</v>
      </c>
      <c r="C60" s="148" t="str">
        <f>VLOOKUP($A60,'Orginal data'!$A$2:$H$152,3,FALSE)</f>
        <v>Unknown</v>
      </c>
      <c r="D60" s="148" t="str">
        <f>VLOOKUP($A60,'Orginal data'!$A$2:$H$152,4,FALSE)</f>
        <v>India</v>
      </c>
      <c r="E60" s="54">
        <f>VLOOKUP($A60,'Orginal data'!$A$2:$H$152,5,FALSE)</f>
        <v>96949</v>
      </c>
      <c r="F60" s="149">
        <f>VLOOKUP($A60,'Orginal data'!$A$2:$H$152,6,FALSE)</f>
        <v>42407</v>
      </c>
      <c r="G60" s="56">
        <f>VLOOKUP($A60,'Orginal data'!$A$2:$H$152,7,FALSE)</f>
        <v>3</v>
      </c>
      <c r="H60" s="148" t="str">
        <f>VLOOKUP($A60,'Orginal data'!$A$2:$H$152,8,FALSE)</f>
        <v>Unknown</v>
      </c>
    </row>
    <row r="61" spans="1:8">
      <c r="A61" s="150" t="s">
        <v>139</v>
      </c>
      <c r="B61" s="148" t="str">
        <f>VLOOKUP($A61,'Orginal data'!$A$2:$H$152,2,FALSE)</f>
        <v>Sam Wilson</v>
      </c>
      <c r="C61" s="148" t="str">
        <f>VLOOKUP($A61,'Orginal data'!$A$2:$H$152,3,FALSE)</f>
        <v>Marketing</v>
      </c>
      <c r="D61" s="148" t="str">
        <f>VLOOKUP($A61,'Orginal data'!$A$2:$H$152,4,FALSE)</f>
        <v>Unknown</v>
      </c>
      <c r="E61" s="54">
        <f>VLOOKUP($A61,'Orginal data'!$A$2:$H$152,5,FALSE)</f>
        <v>84924</v>
      </c>
      <c r="F61" s="149">
        <f>VLOOKUP($A61,'Orginal data'!$A$2:$H$152,6,FALSE)</f>
        <v>42414</v>
      </c>
      <c r="G61" s="56">
        <f>VLOOKUP($A61,'Orginal data'!$A$2:$H$152,7,FALSE)</f>
        <v>5</v>
      </c>
      <c r="H61" s="148" t="str">
        <f>VLOOKUP($A61,'Orginal data'!$A$2:$H$152,8,FALSE)</f>
        <v>Male</v>
      </c>
    </row>
    <row r="62" spans="1:8">
      <c r="A62" s="150" t="s">
        <v>141</v>
      </c>
      <c r="B62" s="148" t="str">
        <f>VLOOKUP($A62,'Orginal data'!$A$2:$H$152,2,FALSE)</f>
        <v>Sam Wilson</v>
      </c>
      <c r="C62" s="148" t="str">
        <f>VLOOKUP($A62,'Orginal data'!$A$2:$H$152,3,FALSE)</f>
        <v>Finance</v>
      </c>
      <c r="D62" s="148" t="str">
        <f>VLOOKUP($A62,'Orginal data'!$A$2:$H$152,4,FALSE)</f>
        <v>USA</v>
      </c>
      <c r="E62" s="54">
        <f>VLOOKUP($A62,'Orginal data'!$A$2:$H$152,5,FALSE)</f>
        <v>82033</v>
      </c>
      <c r="F62" s="149">
        <f>VLOOKUP($A62,'Orginal data'!$A$2:$H$152,6,FALSE)</f>
        <v>42421</v>
      </c>
      <c r="G62" s="56">
        <f>VLOOKUP($A62,'Orginal data'!$A$2:$H$152,7,FALSE)</f>
        <v>1</v>
      </c>
      <c r="H62" s="148" t="str">
        <f>VLOOKUP($A62,'Orginal data'!$A$2:$H$152,8,FALSE)</f>
        <v>Unknown</v>
      </c>
    </row>
    <row r="63" spans="1:8">
      <c r="A63" s="150" t="s">
        <v>142</v>
      </c>
      <c r="B63" s="148" t="str">
        <f>VLOOKUP($A63,'Orginal data'!$A$2:$H$152,2,FALSE)</f>
        <v>Unknown</v>
      </c>
      <c r="C63" s="148" t="str">
        <f>VLOOKUP($A63,'Orginal data'!$A$2:$H$152,3,FALSE)</f>
        <v>Marketing</v>
      </c>
      <c r="D63" s="148" t="str">
        <f>VLOOKUP($A63,'Orginal data'!$A$2:$H$152,4,FALSE)</f>
        <v>Germany</v>
      </c>
      <c r="E63" s="54">
        <f>VLOOKUP($A63,'Orginal data'!$A$2:$H$152,5,FALSE)</f>
        <v>64763.364705882355</v>
      </c>
      <c r="F63" s="149" t="str">
        <f>VLOOKUP($A63,'Orginal data'!$A$2:$H$152,6,FALSE)</f>
        <v>Unknown</v>
      </c>
      <c r="G63" s="56">
        <f>VLOOKUP($A63,'Orginal data'!$A$2:$H$152,7,FALSE)</f>
        <v>5</v>
      </c>
      <c r="H63" s="148" t="str">
        <f>VLOOKUP($A63,'Orginal data'!$A$2:$H$152,8,FALSE)</f>
        <v>Unknown</v>
      </c>
    </row>
    <row r="64" spans="1:8">
      <c r="A64" s="150" t="s">
        <v>144</v>
      </c>
      <c r="B64" s="148" t="str">
        <f>VLOOKUP($A64,'Orginal data'!$A$2:$H$152,2,FALSE)</f>
        <v>Eve Adams</v>
      </c>
      <c r="C64" s="148" t="str">
        <f>VLOOKUP($A64,'Orginal data'!$A$2:$H$152,3,FALSE)</f>
        <v>Unknown</v>
      </c>
      <c r="D64" s="148" t="str">
        <f>VLOOKUP($A64,'Orginal data'!$A$2:$H$152,4,FALSE)</f>
        <v>Australia</v>
      </c>
      <c r="E64" s="54">
        <f>VLOOKUP($A64,'Orginal data'!$A$2:$H$152,5,FALSE)</f>
        <v>31499</v>
      </c>
      <c r="F64" s="149">
        <f>VLOOKUP($A64,'Orginal data'!$A$2:$H$152,6,FALSE)</f>
        <v>42435</v>
      </c>
      <c r="G64" s="56">
        <f>VLOOKUP($A64,'Orginal data'!$A$2:$H$152,7,FALSE)</f>
        <v>2</v>
      </c>
      <c r="H64" s="148" t="str">
        <f>VLOOKUP($A64,'Orginal data'!$A$2:$H$152,8,FALSE)</f>
        <v>Unknown</v>
      </c>
    </row>
    <row r="65" spans="1:8">
      <c r="A65" s="150" t="s">
        <v>145</v>
      </c>
      <c r="B65" s="148" t="str">
        <f>VLOOKUP($A65,'Orginal data'!$A$2:$H$152,2,FALSE)</f>
        <v>Chris Lee</v>
      </c>
      <c r="C65" s="148" t="str">
        <f>VLOOKUP($A65,'Orginal data'!$A$2:$H$152,3,FALSE)</f>
        <v>IT</v>
      </c>
      <c r="D65" s="148" t="str">
        <f>VLOOKUP($A65,'Orginal data'!$A$2:$H$152,4,FALSE)</f>
        <v>UK</v>
      </c>
      <c r="E65" s="54">
        <f>VLOOKUP($A65,'Orginal data'!$A$2:$H$152,5,FALSE)</f>
        <v>97981</v>
      </c>
      <c r="F65" s="149">
        <f>VLOOKUP($A65,'Orginal data'!$A$2:$H$152,6,FALSE)</f>
        <v>42442</v>
      </c>
      <c r="G65" s="56">
        <f>VLOOKUP($A65,'Orginal data'!$A$2:$H$152,7,FALSE)</f>
        <v>5</v>
      </c>
      <c r="H65" s="148" t="str">
        <f>VLOOKUP($A65,'Orginal data'!$A$2:$H$152,8,FALSE)</f>
        <v>Female</v>
      </c>
    </row>
    <row r="66" spans="1:8">
      <c r="A66" s="150" t="s">
        <v>147</v>
      </c>
      <c r="B66" s="148" t="str">
        <f>VLOOKUP($A66,'Orginal data'!$A$2:$H$152,2,FALSE)</f>
        <v>Eve Adams</v>
      </c>
      <c r="C66" s="148" t="str">
        <f>VLOOKUP($A66,'Orginal data'!$A$2:$H$152,3,FALSE)</f>
        <v>HR</v>
      </c>
      <c r="D66" s="148" t="str">
        <f>VLOOKUP($A66,'Orginal data'!$A$2:$H$152,4,FALSE)</f>
        <v>USA</v>
      </c>
      <c r="E66" s="54">
        <f>VLOOKUP($A66,'Orginal data'!$A$2:$H$152,5,FALSE)</f>
        <v>36541</v>
      </c>
      <c r="F66" s="149">
        <f>VLOOKUP($A66,'Orginal data'!$A$2:$H$152,6,FALSE)</f>
        <v>42449</v>
      </c>
      <c r="G66" s="56">
        <f>VLOOKUP($A66,'Orginal data'!$A$2:$H$152,7,FALSE)</f>
        <v>2</v>
      </c>
      <c r="H66" s="148" t="str">
        <f>VLOOKUP($A66,'Orginal data'!$A$2:$H$152,8,FALSE)</f>
        <v>Other</v>
      </c>
    </row>
    <row r="67" spans="1:8">
      <c r="A67" s="150" t="s">
        <v>149</v>
      </c>
      <c r="B67" s="148" t="str">
        <f>VLOOKUP($A67,'Orginal data'!$A$2:$H$152,2,FALSE)</f>
        <v>John Doe</v>
      </c>
      <c r="C67" s="148" t="str">
        <f>VLOOKUP($A67,'Orginal data'!$A$2:$H$152,3,FALSE)</f>
        <v>IT</v>
      </c>
      <c r="D67" s="148" t="str">
        <f>VLOOKUP($A67,'Orginal data'!$A$2:$H$152,4,FALSE)</f>
        <v>India</v>
      </c>
      <c r="E67" s="54">
        <f>VLOOKUP($A67,'Orginal data'!$A$2:$H$152,5,FALSE)</f>
        <v>84737</v>
      </c>
      <c r="F67" s="149">
        <f>VLOOKUP($A67,'Orginal data'!$A$2:$H$152,6,FALSE)</f>
        <v>42456</v>
      </c>
      <c r="G67" s="56">
        <f>VLOOKUP($A67,'Orginal data'!$A$2:$H$152,7,FALSE)</f>
        <v>1</v>
      </c>
      <c r="H67" s="148" t="str">
        <f>VLOOKUP($A67,'Orginal data'!$A$2:$H$152,8,FALSE)</f>
        <v>Male</v>
      </c>
    </row>
    <row r="68" spans="1:8">
      <c r="A68" s="150" t="s">
        <v>151</v>
      </c>
      <c r="B68" s="148" t="str">
        <f>VLOOKUP($A68,'Orginal data'!$A$2:$H$152,2,FALSE)</f>
        <v>Sam Wilson</v>
      </c>
      <c r="C68" s="148" t="str">
        <f>VLOOKUP($A68,'Orginal data'!$A$2:$H$152,3,FALSE)</f>
        <v>Finance</v>
      </c>
      <c r="D68" s="148" t="str">
        <f>VLOOKUP($A68,'Orginal data'!$A$2:$H$152,4,FALSE)</f>
        <v>India</v>
      </c>
      <c r="E68" s="54">
        <f>VLOOKUP($A68,'Orginal data'!$A$2:$H$152,5,FALSE)</f>
        <v>33468</v>
      </c>
      <c r="F68" s="149">
        <f>VLOOKUP($A68,'Orginal data'!$A$2:$H$152,6,FALSE)</f>
        <v>42463</v>
      </c>
      <c r="G68" s="56">
        <f>VLOOKUP($A68,'Orginal data'!$A$2:$H$152,7,FALSE)</f>
        <v>4</v>
      </c>
      <c r="H68" s="148" t="str">
        <f>VLOOKUP($A68,'Orginal data'!$A$2:$H$152,8,FALSE)</f>
        <v>Male</v>
      </c>
    </row>
    <row r="69" spans="1:8">
      <c r="A69" s="150" t="s">
        <v>153</v>
      </c>
      <c r="B69" s="148" t="str">
        <f>VLOOKUP($A69,'Orginal data'!$A$2:$H$152,2,FALSE)</f>
        <v>Sam Wilson</v>
      </c>
      <c r="C69" s="148" t="str">
        <f>VLOOKUP($A69,'Orginal data'!$A$2:$H$152,3,FALSE)</f>
        <v>Unknown</v>
      </c>
      <c r="D69" s="148" t="str">
        <f>VLOOKUP($A69,'Orginal data'!$A$2:$H$152,4,FALSE)</f>
        <v>Australia</v>
      </c>
      <c r="E69" s="54">
        <f>VLOOKUP($A69,'Orginal data'!$A$2:$H$152,5,FALSE)</f>
        <v>96365</v>
      </c>
      <c r="F69" s="149">
        <f>VLOOKUP($A69,'Orginal data'!$A$2:$H$152,6,FALSE)</f>
        <v>42470</v>
      </c>
      <c r="G69" s="56">
        <f>VLOOKUP($A69,'Orginal data'!$A$2:$H$152,7,FALSE)</f>
        <v>3</v>
      </c>
      <c r="H69" s="148" t="str">
        <f>VLOOKUP($A69,'Orginal data'!$A$2:$H$152,8,FALSE)</f>
        <v>Other</v>
      </c>
    </row>
    <row r="70" spans="1:8">
      <c r="A70" s="150" t="s">
        <v>155</v>
      </c>
      <c r="B70" s="148" t="str">
        <f>VLOOKUP($A70,'Orginal data'!$A$2:$H$152,2,FALSE)</f>
        <v>Alice Brown</v>
      </c>
      <c r="C70" s="148" t="str">
        <f>VLOOKUP($A70,'Orginal data'!$A$2:$H$152,3,FALSE)</f>
        <v>Sales</v>
      </c>
      <c r="D70" s="148" t="str">
        <f>VLOOKUP($A70,'Orginal data'!$A$2:$H$152,4,FALSE)</f>
        <v>India</v>
      </c>
      <c r="E70" s="54">
        <f>VLOOKUP($A70,'Orginal data'!$A$2:$H$152,5,FALSE)</f>
        <v>61942</v>
      </c>
      <c r="F70" s="149">
        <f>VLOOKUP($A70,'Orginal data'!$A$2:$H$152,6,FALSE)</f>
        <v>42477</v>
      </c>
      <c r="G70" s="56">
        <f>VLOOKUP($A70,'Orginal data'!$A$2:$H$152,7,FALSE)</f>
        <v>3</v>
      </c>
      <c r="H70" s="148" t="str">
        <f>VLOOKUP($A70,'Orginal data'!$A$2:$H$152,8,FALSE)</f>
        <v>Female</v>
      </c>
    </row>
    <row r="71" spans="1:8">
      <c r="A71" s="150" t="s">
        <v>157</v>
      </c>
      <c r="B71" s="148" t="str">
        <f>VLOOKUP($A71,'Orginal data'!$A$2:$H$152,2,FALSE)</f>
        <v>Sam Wilson</v>
      </c>
      <c r="C71" s="148" t="str">
        <f>VLOOKUP($A71,'Orginal data'!$A$2:$H$152,3,FALSE)</f>
        <v>Finance</v>
      </c>
      <c r="D71" s="148" t="str">
        <f>VLOOKUP($A71,'Orginal data'!$A$2:$H$152,4,FALSE)</f>
        <v>UK</v>
      </c>
      <c r="E71" s="54">
        <f>VLOOKUP($A71,'Orginal data'!$A$2:$H$152,5,FALSE)</f>
        <v>41467</v>
      </c>
      <c r="F71" s="149">
        <f>VLOOKUP($A71,'Orginal data'!$A$2:$H$152,6,FALSE)</f>
        <v>42484</v>
      </c>
      <c r="G71" s="56">
        <f>VLOOKUP($A71,'Orginal data'!$A$2:$H$152,7,FALSE)</f>
        <v>2</v>
      </c>
      <c r="H71" s="148" t="str">
        <f>VLOOKUP($A71,'Orginal data'!$A$2:$H$152,8,FALSE)</f>
        <v>Unknown</v>
      </c>
    </row>
    <row r="72" spans="1:8">
      <c r="A72" s="150" t="s">
        <v>158</v>
      </c>
      <c r="B72" s="148" t="str">
        <f>VLOOKUP($A72,'Orginal data'!$A$2:$H$152,2,FALSE)</f>
        <v>Bob Johnson</v>
      </c>
      <c r="C72" s="148" t="str">
        <f>VLOOKUP($A72,'Orginal data'!$A$2:$H$152,3,FALSE)</f>
        <v>Finance</v>
      </c>
      <c r="D72" s="148" t="str">
        <f>VLOOKUP($A72,'Orginal data'!$A$2:$H$152,4,FALSE)</f>
        <v>India</v>
      </c>
      <c r="E72" s="54">
        <f>VLOOKUP($A72,'Orginal data'!$A$2:$H$152,5,FALSE)</f>
        <v>77096</v>
      </c>
      <c r="F72" s="149">
        <f>VLOOKUP($A72,'Orginal data'!$A$2:$H$152,6,FALSE)</f>
        <v>42491</v>
      </c>
      <c r="G72" s="56">
        <f>VLOOKUP($A72,'Orginal data'!$A$2:$H$152,7,FALSE)</f>
        <v>1</v>
      </c>
      <c r="H72" s="148" t="str">
        <f>VLOOKUP($A72,'Orginal data'!$A$2:$H$152,8,FALSE)</f>
        <v>Unknown</v>
      </c>
    </row>
    <row r="73" spans="1:8">
      <c r="A73" s="150" t="s">
        <v>160</v>
      </c>
      <c r="B73" s="148" t="str">
        <f>VLOOKUP($A73,'Orginal data'!$A$2:$H$152,2,FALSE)</f>
        <v>Eve Adams</v>
      </c>
      <c r="C73" s="148" t="str">
        <f>VLOOKUP($A73,'Orginal data'!$A$2:$H$152,3,FALSE)</f>
        <v>Sales</v>
      </c>
      <c r="D73" s="148" t="str">
        <f>VLOOKUP($A73,'Orginal data'!$A$2:$H$152,4,FALSE)</f>
        <v>Australia</v>
      </c>
      <c r="E73" s="54">
        <f>VLOOKUP($A73,'Orginal data'!$A$2:$H$152,5,FALSE)</f>
        <v>69952</v>
      </c>
      <c r="F73" s="149">
        <f>VLOOKUP($A73,'Orginal data'!$A$2:$H$152,6,FALSE)</f>
        <v>42498</v>
      </c>
      <c r="G73" s="56">
        <f>VLOOKUP($A73,'Orginal data'!$A$2:$H$152,7,FALSE)</f>
        <v>5</v>
      </c>
      <c r="H73" s="148" t="str">
        <f>VLOOKUP($A73,'Orginal data'!$A$2:$H$152,8,FALSE)</f>
        <v>Female</v>
      </c>
    </row>
    <row r="74" spans="1:8">
      <c r="A74" s="150" t="s">
        <v>161</v>
      </c>
      <c r="B74" s="148" t="str">
        <f>VLOOKUP($A74,'Orginal data'!$A$2:$H$152,2,FALSE)</f>
        <v>Eve Adams</v>
      </c>
      <c r="C74" s="148" t="str">
        <f>VLOOKUP($A74,'Orginal data'!$A$2:$H$152,3,FALSE)</f>
        <v>Marketing</v>
      </c>
      <c r="D74" s="148" t="str">
        <f>VLOOKUP($A74,'Orginal data'!$A$2:$H$152,4,FALSE)</f>
        <v>USA</v>
      </c>
      <c r="E74" s="54">
        <f>VLOOKUP($A74,'Orginal data'!$A$2:$H$152,5,FALSE)</f>
        <v>85065</v>
      </c>
      <c r="F74" s="149">
        <f>VLOOKUP($A74,'Orginal data'!$A$2:$H$152,6,FALSE)</f>
        <v>42505</v>
      </c>
      <c r="G74" s="56">
        <f>VLOOKUP($A74,'Orginal data'!$A$2:$H$152,7,FALSE)</f>
        <v>3</v>
      </c>
      <c r="H74" s="148" t="str">
        <f>VLOOKUP($A74,'Orginal data'!$A$2:$H$152,8,FALSE)</f>
        <v>Unknown</v>
      </c>
    </row>
    <row r="75" spans="1:8">
      <c r="A75" s="150" t="s">
        <v>163</v>
      </c>
      <c r="B75" s="148" t="str">
        <f>VLOOKUP($A75,'Orginal data'!$A$2:$H$152,2,FALSE)</f>
        <v>Bob Johnson</v>
      </c>
      <c r="C75" s="148" t="str">
        <f>VLOOKUP($A75,'Orginal data'!$A$2:$H$152,3,FALSE)</f>
        <v>Marketing</v>
      </c>
      <c r="D75" s="148" t="str">
        <f>VLOOKUP($A75,'Orginal data'!$A$2:$H$152,4,FALSE)</f>
        <v>India</v>
      </c>
      <c r="E75" s="54">
        <f>VLOOKUP($A75,'Orginal data'!$A$2:$H$152,5,FALSE)</f>
        <v>56512</v>
      </c>
      <c r="F75" s="149">
        <f>VLOOKUP($A75,'Orginal data'!$A$2:$H$152,6,FALSE)</f>
        <v>42512</v>
      </c>
      <c r="G75" s="56">
        <f>VLOOKUP($A75,'Orginal data'!$A$2:$H$152,7,FALSE)</f>
        <v>2.8571428571428572</v>
      </c>
      <c r="H75" s="148" t="str">
        <f>VLOOKUP($A75,'Orginal data'!$A$2:$H$152,8,FALSE)</f>
        <v>Other</v>
      </c>
    </row>
    <row r="76" spans="1:8">
      <c r="A76" s="150" t="s">
        <v>164</v>
      </c>
      <c r="B76" s="148" t="str">
        <f>VLOOKUP($A76,'Orginal data'!$A$2:$H$152,2,FALSE)</f>
        <v>John Doe</v>
      </c>
      <c r="C76" s="148" t="str">
        <f>VLOOKUP($A76,'Orginal data'!$A$2:$H$152,3,FALSE)</f>
        <v>Sales</v>
      </c>
      <c r="D76" s="148" t="str">
        <f>VLOOKUP($A76,'Orginal data'!$A$2:$H$152,4,FALSE)</f>
        <v>India</v>
      </c>
      <c r="E76" s="54">
        <f>VLOOKUP($A76,'Orginal data'!$A$2:$H$152,5,FALSE)</f>
        <v>91101</v>
      </c>
      <c r="F76" s="149">
        <f>VLOOKUP($A76,'Orginal data'!$A$2:$H$152,6,FALSE)</f>
        <v>42519</v>
      </c>
      <c r="G76" s="56">
        <f>VLOOKUP($A76,'Orginal data'!$A$2:$H$152,7,FALSE)</f>
        <v>4</v>
      </c>
      <c r="H76" s="148" t="str">
        <f>VLOOKUP($A76,'Orginal data'!$A$2:$H$152,8,FALSE)</f>
        <v>Female</v>
      </c>
    </row>
    <row r="77" spans="1:8">
      <c r="A77" s="150" t="s">
        <v>165</v>
      </c>
      <c r="B77" s="148" t="str">
        <f>VLOOKUP($A77,'Orginal data'!$A$2:$H$152,2,FALSE)</f>
        <v>Sam Wilson</v>
      </c>
      <c r="C77" s="148" t="str">
        <f>VLOOKUP($A77,'Orginal data'!$A$2:$H$152,3,FALSE)</f>
        <v>Unknown</v>
      </c>
      <c r="D77" s="148" t="str">
        <f>VLOOKUP($A77,'Orginal data'!$A$2:$H$152,4,FALSE)</f>
        <v>Germany</v>
      </c>
      <c r="E77" s="54">
        <f>VLOOKUP($A77,'Orginal data'!$A$2:$H$152,5,FALSE)</f>
        <v>41243</v>
      </c>
      <c r="F77" s="149">
        <f>VLOOKUP($A77,'Orginal data'!$A$2:$H$152,6,FALSE)</f>
        <v>42526</v>
      </c>
      <c r="G77" s="56">
        <f>VLOOKUP($A77,'Orginal data'!$A$2:$H$152,7,FALSE)</f>
        <v>2.838709677419355</v>
      </c>
      <c r="H77" s="148" t="str">
        <f>VLOOKUP($A77,'Orginal data'!$A$2:$H$152,8,FALSE)</f>
        <v>Unknown</v>
      </c>
    </row>
    <row r="78" spans="1:8">
      <c r="A78" s="150" t="s">
        <v>166</v>
      </c>
      <c r="B78" s="148" t="str">
        <f>VLOOKUP($A78,'Orginal data'!$A$2:$H$152,2,FALSE)</f>
        <v>Unknown</v>
      </c>
      <c r="C78" s="148" t="str">
        <f>VLOOKUP($A78,'Orginal data'!$A$2:$H$152,3,FALSE)</f>
        <v>Sales</v>
      </c>
      <c r="D78" s="148" t="str">
        <f>VLOOKUP($A78,'Orginal data'!$A$2:$H$152,4,FALSE)</f>
        <v>Unknown</v>
      </c>
      <c r="E78" s="54">
        <f>VLOOKUP($A78,'Orginal data'!$A$2:$H$152,5,FALSE)</f>
        <v>96142</v>
      </c>
      <c r="F78" s="149">
        <f>VLOOKUP($A78,'Orginal data'!$A$2:$H$152,6,FALSE)</f>
        <v>42533</v>
      </c>
      <c r="G78" s="56">
        <f>VLOOKUP($A78,'Orginal data'!$A$2:$H$152,7,FALSE)</f>
        <v>1</v>
      </c>
      <c r="H78" s="148" t="str">
        <f>VLOOKUP($A78,'Orginal data'!$A$2:$H$152,8,FALSE)</f>
        <v>Other</v>
      </c>
    </row>
    <row r="79" spans="1:8">
      <c r="A79" s="150" t="s">
        <v>168</v>
      </c>
      <c r="B79" s="148" t="str">
        <f>VLOOKUP($A79,'Orginal data'!$A$2:$H$152,2,FALSE)</f>
        <v>Eve Adams</v>
      </c>
      <c r="C79" s="148" t="str">
        <f>VLOOKUP($A79,'Orginal data'!$A$2:$H$152,3,FALSE)</f>
        <v>IT</v>
      </c>
      <c r="D79" s="148" t="str">
        <f>VLOOKUP($A79,'Orginal data'!$A$2:$H$152,4,FALSE)</f>
        <v>India</v>
      </c>
      <c r="E79" s="54">
        <f>VLOOKUP($A79,'Orginal data'!$A$2:$H$152,5,FALSE)</f>
        <v>94301</v>
      </c>
      <c r="F79" s="149">
        <f>VLOOKUP($A79,'Orginal data'!$A$2:$H$152,6,FALSE)</f>
        <v>42540</v>
      </c>
      <c r="G79" s="56">
        <f>VLOOKUP($A79,'Orginal data'!$A$2:$H$152,7,FALSE)</f>
        <v>1</v>
      </c>
      <c r="H79" s="148" t="str">
        <f>VLOOKUP($A79,'Orginal data'!$A$2:$H$152,8,FALSE)</f>
        <v>Male</v>
      </c>
    </row>
    <row r="80" spans="1:8">
      <c r="A80" s="150" t="s">
        <v>169</v>
      </c>
      <c r="B80" s="148" t="str">
        <f>VLOOKUP($A80,'Orginal data'!$A$2:$H$152,2,FALSE)</f>
        <v>Jane Smith</v>
      </c>
      <c r="C80" s="148" t="str">
        <f>VLOOKUP($A80,'Orginal data'!$A$2:$H$152,3,FALSE)</f>
        <v>Unknown</v>
      </c>
      <c r="D80" s="148" t="str">
        <f>VLOOKUP($A80,'Orginal data'!$A$2:$H$152,4,FALSE)</f>
        <v>UK</v>
      </c>
      <c r="E80" s="54">
        <f>VLOOKUP($A80,'Orginal data'!$A$2:$H$152,5,FALSE)</f>
        <v>69166</v>
      </c>
      <c r="F80" s="149">
        <f>VLOOKUP($A80,'Orginal data'!$A$2:$H$152,6,FALSE)</f>
        <v>42547</v>
      </c>
      <c r="G80" s="56">
        <f>VLOOKUP($A80,'Orginal data'!$A$2:$H$152,7,FALSE)</f>
        <v>1</v>
      </c>
      <c r="H80" s="148" t="str">
        <f>VLOOKUP($A80,'Orginal data'!$A$2:$H$152,8,FALSE)</f>
        <v>Female</v>
      </c>
    </row>
    <row r="81" spans="1:8">
      <c r="A81" s="150" t="s">
        <v>171</v>
      </c>
      <c r="B81" s="148" t="str">
        <f>VLOOKUP($A81,'Orginal data'!$A$2:$H$152,2,FALSE)</f>
        <v>Sam Wilson</v>
      </c>
      <c r="C81" s="148" t="str">
        <f>VLOOKUP($A81,'Orginal data'!$A$2:$H$152,3,FALSE)</f>
        <v>Unknown</v>
      </c>
      <c r="D81" s="148" t="str">
        <f>VLOOKUP($A81,'Orginal data'!$A$2:$H$152,4,FALSE)</f>
        <v>UK</v>
      </c>
      <c r="E81" s="54">
        <f>VLOOKUP($A81,'Orginal data'!$A$2:$H$152,5,FALSE)</f>
        <v>78245</v>
      </c>
      <c r="F81" s="149">
        <f>VLOOKUP($A81,'Orginal data'!$A$2:$H$152,6,FALSE)</f>
        <v>42554</v>
      </c>
      <c r="G81" s="56">
        <f>VLOOKUP($A81,'Orginal data'!$A$2:$H$152,7,FALSE)</f>
        <v>2</v>
      </c>
      <c r="H81" s="148" t="str">
        <f>VLOOKUP($A81,'Orginal data'!$A$2:$H$152,8,FALSE)</f>
        <v>Unknown</v>
      </c>
    </row>
    <row r="82" spans="1:8">
      <c r="A82" s="150" t="s">
        <v>173</v>
      </c>
      <c r="B82" s="148" t="str">
        <f>VLOOKUP($A82,'Orginal data'!$A$2:$H$152,2,FALSE)</f>
        <v>Chris Lee</v>
      </c>
      <c r="C82" s="148" t="str">
        <f>VLOOKUP($A82,'Orginal data'!$A$2:$H$152,3,FALSE)</f>
        <v>Sales</v>
      </c>
      <c r="D82" s="148" t="str">
        <f>VLOOKUP($A82,'Orginal data'!$A$2:$H$152,4,FALSE)</f>
        <v>USA</v>
      </c>
      <c r="E82" s="54">
        <f>VLOOKUP($A82,'Orginal data'!$A$2:$H$152,5,FALSE)</f>
        <v>66079</v>
      </c>
      <c r="F82" s="149">
        <f>VLOOKUP($A82,'Orginal data'!$A$2:$H$152,6,FALSE)</f>
        <v>42561</v>
      </c>
      <c r="G82" s="56">
        <f>VLOOKUP($A82,'Orginal data'!$A$2:$H$152,7,FALSE)</f>
        <v>2</v>
      </c>
      <c r="H82" s="148" t="str">
        <f>VLOOKUP($A82,'Orginal data'!$A$2:$H$152,8,FALSE)</f>
        <v>Other</v>
      </c>
    </row>
    <row r="83" spans="1:8">
      <c r="A83" s="150" t="s">
        <v>175</v>
      </c>
      <c r="B83" s="148" t="str">
        <f>VLOOKUP($A83,'Orginal data'!$A$2:$H$152,2,FALSE)</f>
        <v>Eve Adams</v>
      </c>
      <c r="C83" s="148" t="str">
        <f>VLOOKUP($A83,'Orginal data'!$A$2:$H$152,3,FALSE)</f>
        <v>Marketing</v>
      </c>
      <c r="D83" s="148" t="str">
        <f>VLOOKUP($A83,'Orginal data'!$A$2:$H$152,4,FALSE)</f>
        <v>India</v>
      </c>
      <c r="E83" s="54">
        <f>VLOOKUP($A83,'Orginal data'!$A$2:$H$152,5,FALSE)</f>
        <v>63575.515151515152</v>
      </c>
      <c r="F83" s="149" t="str">
        <f>VLOOKUP($A83,'Orginal data'!$A$2:$H$152,6,FALSE)</f>
        <v>Unknown</v>
      </c>
      <c r="G83" s="56">
        <f>VLOOKUP($A83,'Orginal data'!$A$2:$H$152,7,FALSE)</f>
        <v>2.9649122807017543</v>
      </c>
      <c r="H83" s="148" t="str">
        <f>VLOOKUP($A83,'Orginal data'!$A$2:$H$152,8,FALSE)</f>
        <v>Unknown</v>
      </c>
    </row>
    <row r="84" spans="1:8">
      <c r="A84" s="150" t="s">
        <v>176</v>
      </c>
      <c r="B84" s="148" t="str">
        <f>VLOOKUP($A84,'Orginal data'!$A$2:$H$152,2,FALSE)</f>
        <v>Jane Smith</v>
      </c>
      <c r="C84" s="148" t="str">
        <f>VLOOKUP($A84,'Orginal data'!$A$2:$H$152,3,FALSE)</f>
        <v>Sales</v>
      </c>
      <c r="D84" s="148" t="str">
        <f>VLOOKUP($A84,'Orginal data'!$A$2:$H$152,4,FALSE)</f>
        <v>USA</v>
      </c>
      <c r="E84" s="54">
        <f>VLOOKUP($A84,'Orginal data'!$A$2:$H$152,5,FALSE)</f>
        <v>95621</v>
      </c>
      <c r="F84" s="149">
        <f>VLOOKUP($A84,'Orginal data'!$A$2:$H$152,6,FALSE)</f>
        <v>42575</v>
      </c>
      <c r="G84" s="56">
        <f>VLOOKUP($A84,'Orginal data'!$A$2:$H$152,7,FALSE)</f>
        <v>3</v>
      </c>
      <c r="H84" s="148" t="str">
        <f>VLOOKUP($A84,'Orginal data'!$A$2:$H$152,8,FALSE)</f>
        <v>Female</v>
      </c>
    </row>
    <row r="85" spans="1:8">
      <c r="A85" s="150" t="s">
        <v>178</v>
      </c>
      <c r="B85" s="148" t="str">
        <f>VLOOKUP($A85,'Orginal data'!$A$2:$H$152,2,FALSE)</f>
        <v>Eve Adams</v>
      </c>
      <c r="C85" s="148" t="str">
        <f>VLOOKUP($A85,'Orginal data'!$A$2:$H$152,3,FALSE)</f>
        <v>IT</v>
      </c>
      <c r="D85" s="148" t="str">
        <f>VLOOKUP($A85,'Orginal data'!$A$2:$H$152,4,FALSE)</f>
        <v>UK</v>
      </c>
      <c r="E85" s="54">
        <f>VLOOKUP($A85,'Orginal data'!$A$2:$H$152,5,FALSE)</f>
        <v>42262</v>
      </c>
      <c r="F85" s="149">
        <f>VLOOKUP($A85,'Orginal data'!$A$2:$H$152,6,FALSE)</f>
        <v>42582</v>
      </c>
      <c r="G85" s="56">
        <f>VLOOKUP($A85,'Orginal data'!$A$2:$H$152,7,FALSE)</f>
        <v>1</v>
      </c>
      <c r="H85" s="148" t="str">
        <f>VLOOKUP($A85,'Orginal data'!$A$2:$H$152,8,FALSE)</f>
        <v>Unknown</v>
      </c>
    </row>
    <row r="86" spans="1:8">
      <c r="A86" s="150" t="s">
        <v>180</v>
      </c>
      <c r="B86" s="148" t="str">
        <f>VLOOKUP($A86,'Orginal data'!$A$2:$H$152,2,FALSE)</f>
        <v>Sam Wilson</v>
      </c>
      <c r="C86" s="148" t="str">
        <f>VLOOKUP($A86,'Orginal data'!$A$2:$H$152,3,FALSE)</f>
        <v>Sales</v>
      </c>
      <c r="D86" s="148" t="str">
        <f>VLOOKUP($A86,'Orginal data'!$A$2:$H$152,4,FALSE)</f>
        <v>India</v>
      </c>
      <c r="E86" s="54">
        <f>VLOOKUP($A86,'Orginal data'!$A$2:$H$152,5,FALSE)</f>
        <v>99621</v>
      </c>
      <c r="F86" s="149">
        <f>VLOOKUP($A86,'Orginal data'!$A$2:$H$152,6,FALSE)</f>
        <v>42589</v>
      </c>
      <c r="G86" s="56">
        <f>VLOOKUP($A86,'Orginal data'!$A$2:$H$152,7,FALSE)</f>
        <v>3</v>
      </c>
      <c r="H86" s="148" t="str">
        <f>VLOOKUP($A86,'Orginal data'!$A$2:$H$152,8,FALSE)</f>
        <v>Other</v>
      </c>
    </row>
    <row r="87" spans="1:8">
      <c r="A87" s="150" t="s">
        <v>182</v>
      </c>
      <c r="B87" s="148" t="str">
        <f>VLOOKUP($A87,'Orginal data'!$A$2:$H$152,2,FALSE)</f>
        <v>John Doe</v>
      </c>
      <c r="C87" s="148" t="str">
        <f>VLOOKUP($A87,'Orginal data'!$A$2:$H$152,3,FALSE)</f>
        <v>Marketing</v>
      </c>
      <c r="D87" s="148" t="str">
        <f>VLOOKUP($A87,'Orginal data'!$A$2:$H$152,4,FALSE)</f>
        <v>India</v>
      </c>
      <c r="E87" s="54">
        <f>VLOOKUP($A87,'Orginal data'!$A$2:$H$152,5,FALSE)</f>
        <v>44682</v>
      </c>
      <c r="F87" s="149">
        <f>VLOOKUP($A87,'Orginal data'!$A$2:$H$152,6,FALSE)</f>
        <v>42596</v>
      </c>
      <c r="G87" s="56">
        <f>VLOOKUP($A87,'Orginal data'!$A$2:$H$152,7,FALSE)</f>
        <v>4</v>
      </c>
      <c r="H87" s="148" t="str">
        <f>VLOOKUP($A87,'Orginal data'!$A$2:$H$152,8,FALSE)</f>
        <v>Female</v>
      </c>
    </row>
    <row r="88" spans="1:8">
      <c r="A88" s="150" t="s">
        <v>183</v>
      </c>
      <c r="B88" s="148" t="str">
        <f>VLOOKUP($A88,'Orginal data'!$A$2:$H$152,2,FALSE)</f>
        <v>Chris Lee</v>
      </c>
      <c r="C88" s="148" t="str">
        <f>VLOOKUP($A88,'Orginal data'!$A$2:$H$152,3,FALSE)</f>
        <v>Finance</v>
      </c>
      <c r="D88" s="148" t="str">
        <f>VLOOKUP($A88,'Orginal data'!$A$2:$H$152,4,FALSE)</f>
        <v>Unknown</v>
      </c>
      <c r="E88" s="54">
        <f>VLOOKUP($A88,'Orginal data'!$A$2:$H$152,5,FALSE)</f>
        <v>35163</v>
      </c>
      <c r="F88" s="149">
        <f>VLOOKUP($A88,'Orginal data'!$A$2:$H$152,6,FALSE)</f>
        <v>42603</v>
      </c>
      <c r="G88" s="56">
        <f>VLOOKUP($A88,'Orginal data'!$A$2:$H$152,7,FALSE)</f>
        <v>5</v>
      </c>
      <c r="H88" s="148" t="str">
        <f>VLOOKUP($A88,'Orginal data'!$A$2:$H$152,8,FALSE)</f>
        <v>Other</v>
      </c>
    </row>
    <row r="89" spans="1:8">
      <c r="A89" s="150" t="s">
        <v>185</v>
      </c>
      <c r="B89" s="148" t="str">
        <f>VLOOKUP($A89,'Orginal data'!$A$2:$H$152,2,FALSE)</f>
        <v>Chris Lee</v>
      </c>
      <c r="C89" s="148" t="str">
        <f>VLOOKUP($A89,'Orginal data'!$A$2:$H$152,3,FALSE)</f>
        <v>IT</v>
      </c>
      <c r="D89" s="148" t="str">
        <f>VLOOKUP($A89,'Orginal data'!$A$2:$H$152,4,FALSE)</f>
        <v>India</v>
      </c>
      <c r="E89" s="54">
        <f>VLOOKUP($A89,'Orginal data'!$A$2:$H$152,5,FALSE)</f>
        <v>33483</v>
      </c>
      <c r="F89" s="149">
        <f>VLOOKUP($A89,'Orginal data'!$A$2:$H$152,6,FALSE)</f>
        <v>42610</v>
      </c>
      <c r="G89" s="56">
        <f>VLOOKUP($A89,'Orginal data'!$A$2:$H$152,7,FALSE)</f>
        <v>4</v>
      </c>
      <c r="H89" s="148" t="str">
        <f>VLOOKUP($A89,'Orginal data'!$A$2:$H$152,8,FALSE)</f>
        <v>Male</v>
      </c>
    </row>
    <row r="90" spans="1:8">
      <c r="A90" s="150" t="s">
        <v>187</v>
      </c>
      <c r="B90" s="148" t="str">
        <f>VLOOKUP($A90,'Orginal data'!$A$2:$H$152,2,FALSE)</f>
        <v>Sam Wilson</v>
      </c>
      <c r="C90" s="148" t="str">
        <f>VLOOKUP($A90,'Orginal data'!$A$2:$H$152,3,FALSE)</f>
        <v>HR</v>
      </c>
      <c r="D90" s="148" t="str">
        <f>VLOOKUP($A90,'Orginal data'!$A$2:$H$152,4,FALSE)</f>
        <v>Germany</v>
      </c>
      <c r="E90" s="54">
        <f>VLOOKUP($A90,'Orginal data'!$A$2:$H$152,5,FALSE)</f>
        <v>55303</v>
      </c>
      <c r="F90" s="149">
        <f>VLOOKUP($A90,'Orginal data'!$A$2:$H$152,6,FALSE)</f>
        <v>42617</v>
      </c>
      <c r="G90" s="56">
        <f>VLOOKUP($A90,'Orginal data'!$A$2:$H$152,7,FALSE)</f>
        <v>4</v>
      </c>
      <c r="H90" s="148" t="str">
        <f>VLOOKUP($A90,'Orginal data'!$A$2:$H$152,8,FALSE)</f>
        <v>Male</v>
      </c>
    </row>
    <row r="91" spans="1:8">
      <c r="A91" s="150" t="s">
        <v>188</v>
      </c>
      <c r="B91" s="148" t="str">
        <f>VLOOKUP($A91,'Orginal data'!$A$2:$H$152,2,FALSE)</f>
        <v>Chris Lee</v>
      </c>
      <c r="C91" s="148" t="str">
        <f>VLOOKUP($A91,'Orginal data'!$A$2:$H$152,3,FALSE)</f>
        <v>IT</v>
      </c>
      <c r="D91" s="148" t="str">
        <f>VLOOKUP($A91,'Orginal data'!$A$2:$H$152,4,FALSE)</f>
        <v>Unknown</v>
      </c>
      <c r="E91" s="54">
        <f>VLOOKUP($A91,'Orginal data'!$A$2:$H$152,5,FALSE)</f>
        <v>63434</v>
      </c>
      <c r="F91" s="149">
        <f>VLOOKUP($A91,'Orginal data'!$A$2:$H$152,6,FALSE)</f>
        <v>42624</v>
      </c>
      <c r="G91" s="56">
        <f>VLOOKUP($A91,'Orginal data'!$A$2:$H$152,7,FALSE)</f>
        <v>3</v>
      </c>
      <c r="H91" s="148" t="str">
        <f>VLOOKUP($A91,'Orginal data'!$A$2:$H$152,8,FALSE)</f>
        <v>Unknown</v>
      </c>
    </row>
    <row r="92" spans="1:8">
      <c r="A92" s="150" t="s">
        <v>190</v>
      </c>
      <c r="B92" s="148" t="str">
        <f>VLOOKUP($A92,'Orginal data'!$A$2:$H$152,2,FALSE)</f>
        <v>Jane Smith</v>
      </c>
      <c r="C92" s="148" t="str">
        <f>VLOOKUP($A92,'Orginal data'!$A$2:$H$152,3,FALSE)</f>
        <v>Unknown</v>
      </c>
      <c r="D92" s="148" t="str">
        <f>VLOOKUP($A92,'Orginal data'!$A$2:$H$152,4,FALSE)</f>
        <v>Australia</v>
      </c>
      <c r="E92" s="54">
        <f>VLOOKUP($A92,'Orginal data'!$A$2:$H$152,5,FALSE)</f>
        <v>38830</v>
      </c>
      <c r="F92" s="149">
        <f>VLOOKUP($A92,'Orginal data'!$A$2:$H$152,6,FALSE)</f>
        <v>42631</v>
      </c>
      <c r="G92" s="56">
        <f>VLOOKUP($A92,'Orginal data'!$A$2:$H$152,7,FALSE)</f>
        <v>3</v>
      </c>
      <c r="H92" s="148" t="str">
        <f>VLOOKUP($A92,'Orginal data'!$A$2:$H$152,8,FALSE)</f>
        <v>Other</v>
      </c>
    </row>
    <row r="93" spans="1:8">
      <c r="A93" s="150" t="s">
        <v>191</v>
      </c>
      <c r="B93" s="148" t="str">
        <f>VLOOKUP($A93,'Orginal data'!$A$2:$H$152,2,FALSE)</f>
        <v>Unknown</v>
      </c>
      <c r="C93" s="148" t="str">
        <f>VLOOKUP($A93,'Orginal data'!$A$2:$H$152,3,FALSE)</f>
        <v>Marketing</v>
      </c>
      <c r="D93" s="148" t="str">
        <f>VLOOKUP($A93,'Orginal data'!$A$2:$H$152,4,FALSE)</f>
        <v>UK</v>
      </c>
      <c r="E93" s="54">
        <f>VLOOKUP($A93,'Orginal data'!$A$2:$H$152,5,FALSE)</f>
        <v>50741</v>
      </c>
      <c r="F93" s="149">
        <f>VLOOKUP($A93,'Orginal data'!$A$2:$H$152,6,FALSE)</f>
        <v>42638</v>
      </c>
      <c r="G93" s="56">
        <f>VLOOKUP($A93,'Orginal data'!$A$2:$H$152,7,FALSE)</f>
        <v>3</v>
      </c>
      <c r="H93" s="148" t="str">
        <f>VLOOKUP($A93,'Orginal data'!$A$2:$H$152,8,FALSE)</f>
        <v>Unknown</v>
      </c>
    </row>
    <row r="94" spans="1:8">
      <c r="A94" s="150" t="s">
        <v>192</v>
      </c>
      <c r="B94" s="148" t="str">
        <f>VLOOKUP($A94,'Orginal data'!$A$2:$H$152,2,FALSE)</f>
        <v>Alice Brown</v>
      </c>
      <c r="C94" s="148" t="str">
        <f>VLOOKUP($A94,'Orginal data'!$A$2:$H$152,3,FALSE)</f>
        <v>HR</v>
      </c>
      <c r="D94" s="148" t="str">
        <f>VLOOKUP($A94,'Orginal data'!$A$2:$H$152,4,FALSE)</f>
        <v>Australia</v>
      </c>
      <c r="E94" s="54">
        <f>VLOOKUP($A94,'Orginal data'!$A$2:$H$152,5,FALSE)</f>
        <v>69420</v>
      </c>
      <c r="F94" s="149">
        <f>VLOOKUP($A94,'Orginal data'!$A$2:$H$152,6,FALSE)</f>
        <v>42645</v>
      </c>
      <c r="G94" s="56">
        <f>VLOOKUP($A94,'Orginal data'!$A$2:$H$152,7,FALSE)</f>
        <v>1</v>
      </c>
      <c r="H94" s="148" t="str">
        <f>VLOOKUP($A94,'Orginal data'!$A$2:$H$152,8,FALSE)</f>
        <v>Male</v>
      </c>
    </row>
    <row r="95" spans="1:8">
      <c r="A95" s="150" t="s">
        <v>193</v>
      </c>
      <c r="B95" s="148" t="str">
        <f>VLOOKUP($A95,'Orginal data'!$A$2:$H$152,2,FALSE)</f>
        <v>Jane Smith</v>
      </c>
      <c r="C95" s="148" t="str">
        <f>VLOOKUP($A95,'Orginal data'!$A$2:$H$152,3,FALSE)</f>
        <v>IT</v>
      </c>
      <c r="D95" s="148" t="str">
        <f>VLOOKUP($A95,'Orginal data'!$A$2:$H$152,4,FALSE)</f>
        <v>Unknown</v>
      </c>
      <c r="E95" s="54">
        <f>VLOOKUP($A95,'Orginal data'!$A$2:$H$152,5,FALSE)</f>
        <v>80588</v>
      </c>
      <c r="F95" s="149">
        <f>VLOOKUP($A95,'Orginal data'!$A$2:$H$152,6,FALSE)</f>
        <v>42652</v>
      </c>
      <c r="G95" s="56">
        <f>VLOOKUP($A95,'Orginal data'!$A$2:$H$152,7,FALSE)</f>
        <v>5</v>
      </c>
      <c r="H95" s="148" t="str">
        <f>VLOOKUP($A95,'Orginal data'!$A$2:$H$152,8,FALSE)</f>
        <v>Male</v>
      </c>
    </row>
    <row r="96" spans="1:8">
      <c r="A96" s="150" t="s">
        <v>194</v>
      </c>
      <c r="B96" s="148" t="str">
        <f>VLOOKUP($A96,'Orginal data'!$A$2:$H$152,2,FALSE)</f>
        <v>Alice Brown</v>
      </c>
      <c r="C96" s="148" t="str">
        <f>VLOOKUP($A96,'Orginal data'!$A$2:$H$152,3,FALSE)</f>
        <v>Unknown</v>
      </c>
      <c r="D96" s="148" t="str">
        <f>VLOOKUP($A96,'Orginal data'!$A$2:$H$152,4,FALSE)</f>
        <v>USA</v>
      </c>
      <c r="E96" s="54">
        <f>VLOOKUP($A96,'Orginal data'!$A$2:$H$152,5,FALSE)</f>
        <v>76238</v>
      </c>
      <c r="F96" s="149">
        <f>VLOOKUP($A96,'Orginal data'!$A$2:$H$152,6,FALSE)</f>
        <v>42659</v>
      </c>
      <c r="G96" s="56">
        <f>VLOOKUP($A96,'Orginal data'!$A$2:$H$152,7,FALSE)</f>
        <v>4</v>
      </c>
      <c r="H96" s="148" t="str">
        <f>VLOOKUP($A96,'Orginal data'!$A$2:$H$152,8,FALSE)</f>
        <v>Male</v>
      </c>
    </row>
    <row r="97" spans="1:8">
      <c r="A97" s="150" t="s">
        <v>196</v>
      </c>
      <c r="B97" s="148" t="str">
        <f>VLOOKUP($A97,'Orginal data'!$A$2:$H$152,2,FALSE)</f>
        <v>Bob Johnson</v>
      </c>
      <c r="C97" s="148" t="str">
        <f>VLOOKUP($A97,'Orginal data'!$A$2:$H$152,3,FALSE)</f>
        <v>IT</v>
      </c>
      <c r="D97" s="148" t="str">
        <f>VLOOKUP($A97,'Orginal data'!$A$2:$H$152,4,FALSE)</f>
        <v>India</v>
      </c>
      <c r="E97" s="54">
        <f>VLOOKUP($A97,'Orginal data'!$A$2:$H$152,5,FALSE)</f>
        <v>33264</v>
      </c>
      <c r="F97" s="149">
        <f>VLOOKUP($A97,'Orginal data'!$A$2:$H$152,6,FALSE)</f>
        <v>42666</v>
      </c>
      <c r="G97" s="56">
        <f>VLOOKUP($A97,'Orginal data'!$A$2:$H$152,7,FALSE)</f>
        <v>2.8666666666666667</v>
      </c>
      <c r="H97" s="148" t="str">
        <f>VLOOKUP($A97,'Orginal data'!$A$2:$H$152,8,FALSE)</f>
        <v>Female</v>
      </c>
    </row>
    <row r="98" spans="1:8">
      <c r="A98" s="150" t="s">
        <v>198</v>
      </c>
      <c r="B98" s="148" t="str">
        <f>VLOOKUP($A98,'Orginal data'!$A$2:$H$152,2,FALSE)</f>
        <v>Alice Brown</v>
      </c>
      <c r="C98" s="148" t="str">
        <f>VLOOKUP($A98,'Orginal data'!$A$2:$H$152,3,FALSE)</f>
        <v>Finance</v>
      </c>
      <c r="D98" s="148" t="str">
        <f>VLOOKUP($A98,'Orginal data'!$A$2:$H$152,4,FALSE)</f>
        <v>Australia</v>
      </c>
      <c r="E98" s="54">
        <f>VLOOKUP($A98,'Orginal data'!$A$2:$H$152,5,FALSE)</f>
        <v>96101</v>
      </c>
      <c r="F98" s="149">
        <f>VLOOKUP($A98,'Orginal data'!$A$2:$H$152,6,FALSE)</f>
        <v>42673</v>
      </c>
      <c r="G98" s="56">
        <f>VLOOKUP($A98,'Orginal data'!$A$2:$H$152,7,FALSE)</f>
        <v>2.8666666666666667</v>
      </c>
      <c r="H98" s="148" t="str">
        <f>VLOOKUP($A98,'Orginal data'!$A$2:$H$152,8,FALSE)</f>
        <v>Other</v>
      </c>
    </row>
    <row r="99" spans="1:8">
      <c r="A99" s="150" t="s">
        <v>200</v>
      </c>
      <c r="B99" s="148" t="str">
        <f>VLOOKUP($A99,'Orginal data'!$A$2:$H$152,2,FALSE)</f>
        <v>Jane Smith</v>
      </c>
      <c r="C99" s="148" t="str">
        <f>VLOOKUP($A99,'Orginal data'!$A$2:$H$152,3,FALSE)</f>
        <v>Finance</v>
      </c>
      <c r="D99" s="148" t="str">
        <f>VLOOKUP($A99,'Orginal data'!$A$2:$H$152,4,FALSE)</f>
        <v>USA</v>
      </c>
      <c r="E99" s="54">
        <f>VLOOKUP($A99,'Orginal data'!$A$2:$H$152,5,FALSE)</f>
        <v>72939</v>
      </c>
      <c r="F99" s="149">
        <f>VLOOKUP($A99,'Orginal data'!$A$2:$H$152,6,FALSE)</f>
        <v>42680</v>
      </c>
      <c r="G99" s="56">
        <f>VLOOKUP($A99,'Orginal data'!$A$2:$H$152,7,FALSE)</f>
        <v>3</v>
      </c>
      <c r="H99" s="148" t="str">
        <f>VLOOKUP($A99,'Orginal data'!$A$2:$H$152,8,FALSE)</f>
        <v>Unknown</v>
      </c>
    </row>
    <row r="100" spans="1:8">
      <c r="A100" s="150" t="s">
        <v>202</v>
      </c>
      <c r="B100" s="148" t="str">
        <f>VLOOKUP($A100,'Orginal data'!$A$2:$H$152,2,FALSE)</f>
        <v>Sam Wilson</v>
      </c>
      <c r="C100" s="148" t="str">
        <f>VLOOKUP($A100,'Orginal data'!$A$2:$H$152,3,FALSE)</f>
        <v>HR</v>
      </c>
      <c r="D100" s="148" t="str">
        <f>VLOOKUP($A100,'Orginal data'!$A$2:$H$152,4,FALSE)</f>
        <v>Germany</v>
      </c>
      <c r="E100" s="54">
        <f>VLOOKUP($A100,'Orginal data'!$A$2:$H$152,5,FALSE)</f>
        <v>89333</v>
      </c>
      <c r="F100" s="149">
        <f>VLOOKUP($A100,'Orginal data'!$A$2:$H$152,6,FALSE)</f>
        <v>42687</v>
      </c>
      <c r="G100" s="56">
        <f>VLOOKUP($A100,'Orginal data'!$A$2:$H$152,7,FALSE)</f>
        <v>1</v>
      </c>
      <c r="H100" s="148" t="str">
        <f>VLOOKUP($A100,'Orginal data'!$A$2:$H$152,8,FALSE)</f>
        <v>Male</v>
      </c>
    </row>
    <row r="101" spans="1:8">
      <c r="A101" s="150" t="s">
        <v>204</v>
      </c>
      <c r="B101" s="148" t="str">
        <f>VLOOKUP($A101,'Orginal data'!$A$2:$H$152,2,FALSE)</f>
        <v>Bob Johnson</v>
      </c>
      <c r="C101" s="148" t="str">
        <f>VLOOKUP($A101,'Orginal data'!$A$2:$H$152,3,FALSE)</f>
        <v>IT</v>
      </c>
      <c r="D101" s="148" t="str">
        <f>VLOOKUP($A101,'Orginal data'!$A$2:$H$152,4,FALSE)</f>
        <v>Australia</v>
      </c>
      <c r="E101" s="54">
        <f>VLOOKUP($A101,'Orginal data'!$A$2:$H$152,5,FALSE)</f>
        <v>70470</v>
      </c>
      <c r="F101" s="149">
        <f>VLOOKUP($A101,'Orginal data'!$A$2:$H$152,6,FALSE)</f>
        <v>42694</v>
      </c>
      <c r="G101" s="56">
        <f>VLOOKUP($A101,'Orginal data'!$A$2:$H$152,7,FALSE)</f>
        <v>2.9069767441860463</v>
      </c>
      <c r="H101" s="148" t="str">
        <f>VLOOKUP($A101,'Orginal data'!$A$2:$H$152,8,FALSE)</f>
        <v>Male</v>
      </c>
    </row>
    <row r="102" spans="1:8">
      <c r="A102" s="150" t="s">
        <v>206</v>
      </c>
      <c r="B102" s="148" t="str">
        <f>VLOOKUP($A102,'Orginal data'!$A$2:$H$152,2,FALSE)</f>
        <v>Eve Adams</v>
      </c>
      <c r="C102" s="148" t="str">
        <f>VLOOKUP($A102,'Orginal data'!$A$2:$H$152,3,FALSE)</f>
        <v>Marketing</v>
      </c>
      <c r="D102" s="148" t="str">
        <f>VLOOKUP($A102,'Orginal data'!$A$2:$H$152,4,FALSE)</f>
        <v>USA</v>
      </c>
      <c r="E102" s="54">
        <f>VLOOKUP($A102,'Orginal data'!$A$2:$H$152,5,FALSE)</f>
        <v>70096</v>
      </c>
      <c r="F102" s="149">
        <f>VLOOKUP($A102,'Orginal data'!$A$2:$H$152,6,FALSE)</f>
        <v>42701</v>
      </c>
      <c r="G102" s="56">
        <f>VLOOKUP($A102,'Orginal data'!$A$2:$H$152,7,FALSE)</f>
        <v>4</v>
      </c>
      <c r="H102" s="148" t="str">
        <f>VLOOKUP($A102,'Orginal data'!$A$2:$H$152,8,FALSE)</f>
        <v>Male</v>
      </c>
    </row>
    <row r="103" spans="1:8">
      <c r="A103" s="150" t="s">
        <v>208</v>
      </c>
      <c r="B103" s="148" t="str">
        <f>VLOOKUP($A103,'Orginal data'!$A$2:$H$152,2,FALSE)</f>
        <v>Bob Johnson</v>
      </c>
      <c r="C103" s="148" t="str">
        <f>VLOOKUP($A103,'Orginal data'!$A$2:$H$152,3,FALSE)</f>
        <v>Marketing</v>
      </c>
      <c r="D103" s="148" t="str">
        <f>VLOOKUP($A103,'Orginal data'!$A$2:$H$152,4,FALSE)</f>
        <v>Unknown</v>
      </c>
      <c r="E103" s="54">
        <f>VLOOKUP($A103,'Orginal data'!$A$2:$H$152,5,FALSE)</f>
        <v>63370.106382978724</v>
      </c>
      <c r="F103" s="149">
        <f>VLOOKUP($A103,'Orginal data'!$A$2:$H$152,6,FALSE)</f>
        <v>42708</v>
      </c>
      <c r="G103" s="56">
        <f>VLOOKUP($A103,'Orginal data'!$A$2:$H$152,7,FALSE)</f>
        <v>2</v>
      </c>
      <c r="H103" s="148" t="str">
        <f>VLOOKUP($A103,'Orginal data'!$A$2:$H$152,8,FALSE)</f>
        <v>Other</v>
      </c>
    </row>
    <row r="104" spans="1:8">
      <c r="A104" s="150" t="s">
        <v>210</v>
      </c>
      <c r="B104" s="148" t="str">
        <f>VLOOKUP($A104,'Orginal data'!$A$2:$H$152,2,FALSE)</f>
        <v>Bob Johnson</v>
      </c>
      <c r="C104" s="148" t="str">
        <f>VLOOKUP($A104,'Orginal data'!$A$2:$H$152,3,FALSE)</f>
        <v>IT</v>
      </c>
      <c r="D104" s="148" t="str">
        <f>VLOOKUP($A104,'Orginal data'!$A$2:$H$152,4,FALSE)</f>
        <v>Germany</v>
      </c>
      <c r="E104" s="54">
        <f>VLOOKUP($A104,'Orginal data'!$A$2:$H$152,5,FALSE)</f>
        <v>66503</v>
      </c>
      <c r="F104" s="149">
        <f>VLOOKUP($A104,'Orginal data'!$A$2:$H$152,6,FALSE)</f>
        <v>42715</v>
      </c>
      <c r="G104" s="56">
        <f>VLOOKUP($A104,'Orginal data'!$A$2:$H$152,7,FALSE)</f>
        <v>2.9024390243902438</v>
      </c>
      <c r="H104" s="148" t="str">
        <f>VLOOKUP($A104,'Orginal data'!$A$2:$H$152,8,FALSE)</f>
        <v>Male</v>
      </c>
    </row>
    <row r="105" spans="1:8">
      <c r="A105" s="150" t="s">
        <v>211</v>
      </c>
      <c r="B105" s="148" t="str">
        <f>VLOOKUP($A105,'Orginal data'!$A$2:$H$152,2,FALSE)</f>
        <v>Alice Brown</v>
      </c>
      <c r="C105" s="148" t="str">
        <f>VLOOKUP($A105,'Orginal data'!$A$2:$H$152,3,FALSE)</f>
        <v>HR</v>
      </c>
      <c r="D105" s="148" t="str">
        <f>VLOOKUP($A105,'Orginal data'!$A$2:$H$152,4,FALSE)</f>
        <v>Germany</v>
      </c>
      <c r="E105" s="54">
        <f>VLOOKUP($A105,'Orginal data'!$A$2:$H$152,5,FALSE)</f>
        <v>42096</v>
      </c>
      <c r="F105" s="149">
        <f>VLOOKUP($A105,'Orginal data'!$A$2:$H$152,6,FALSE)</f>
        <v>42722</v>
      </c>
      <c r="G105" s="56">
        <f>VLOOKUP($A105,'Orginal data'!$A$2:$H$152,7,FALSE)</f>
        <v>2.9024390243902438</v>
      </c>
      <c r="H105" s="148" t="str">
        <f>VLOOKUP($A105,'Orginal data'!$A$2:$H$152,8,FALSE)</f>
        <v>Female</v>
      </c>
    </row>
    <row r="106" spans="1:8">
      <c r="A106" s="150" t="s">
        <v>213</v>
      </c>
      <c r="B106" s="148" t="str">
        <f>VLOOKUP($A106,'Orginal data'!$A$2:$H$152,2,FALSE)</f>
        <v>Alice Brown</v>
      </c>
      <c r="C106" s="148" t="str">
        <f>VLOOKUP($A106,'Orginal data'!$A$2:$H$152,3,FALSE)</f>
        <v>Marketing</v>
      </c>
      <c r="D106" s="148" t="str">
        <f>VLOOKUP($A106,'Orginal data'!$A$2:$H$152,4,FALSE)</f>
        <v>Unknown</v>
      </c>
      <c r="E106" s="54">
        <f>VLOOKUP($A106,'Orginal data'!$A$2:$H$152,5,FALSE)</f>
        <v>79145</v>
      </c>
      <c r="F106" s="149">
        <f>VLOOKUP($A106,'Orginal data'!$A$2:$H$152,6,FALSE)</f>
        <v>42729</v>
      </c>
      <c r="G106" s="56">
        <f>VLOOKUP($A106,'Orginal data'!$A$2:$H$152,7,FALSE)</f>
        <v>5</v>
      </c>
      <c r="H106" s="148" t="str">
        <f>VLOOKUP($A106,'Orginal data'!$A$2:$H$152,8,FALSE)</f>
        <v>Other</v>
      </c>
    </row>
    <row r="107" spans="1:8">
      <c r="A107" s="150" t="s">
        <v>214</v>
      </c>
      <c r="B107" s="148" t="str">
        <f>VLOOKUP($A107,'Orginal data'!$A$2:$H$152,2,FALSE)</f>
        <v>Jane Smith</v>
      </c>
      <c r="C107" s="148" t="str">
        <f>VLOOKUP($A107,'Orginal data'!$A$2:$H$152,3,FALSE)</f>
        <v>Unknown</v>
      </c>
      <c r="D107" s="148" t="str">
        <f>VLOOKUP($A107,'Orginal data'!$A$2:$H$152,4,FALSE)</f>
        <v>Australia</v>
      </c>
      <c r="E107" s="54">
        <f>VLOOKUP($A107,'Orginal data'!$A$2:$H$152,5,FALSE)</f>
        <v>61556</v>
      </c>
      <c r="F107" s="149">
        <f>VLOOKUP($A107,'Orginal data'!$A$2:$H$152,6,FALSE)</f>
        <v>42736</v>
      </c>
      <c r="G107" s="56">
        <f>VLOOKUP($A107,'Orginal data'!$A$2:$H$152,7,FALSE)</f>
        <v>1</v>
      </c>
      <c r="H107" s="148" t="str">
        <f>VLOOKUP($A107,'Orginal data'!$A$2:$H$152,8,FALSE)</f>
        <v>Unknown</v>
      </c>
    </row>
    <row r="108" spans="1:8">
      <c r="A108" s="150" t="s">
        <v>215</v>
      </c>
      <c r="B108" s="148" t="str">
        <f>VLOOKUP($A108,'Orginal data'!$A$2:$H$152,2,FALSE)</f>
        <v>Unknown</v>
      </c>
      <c r="C108" s="148" t="str">
        <f>VLOOKUP($A108,'Orginal data'!$A$2:$H$152,3,FALSE)</f>
        <v>HR</v>
      </c>
      <c r="D108" s="148" t="str">
        <f>VLOOKUP($A108,'Orginal data'!$A$2:$H$152,4,FALSE)</f>
        <v>UK</v>
      </c>
      <c r="E108" s="54">
        <f>VLOOKUP($A108,'Orginal data'!$A$2:$H$152,5,FALSE)</f>
        <v>87963</v>
      </c>
      <c r="F108" s="149">
        <f>VLOOKUP($A108,'Orginal data'!$A$2:$H$152,6,FALSE)</f>
        <v>42743</v>
      </c>
      <c r="G108" s="56">
        <f>VLOOKUP($A108,'Orginal data'!$A$2:$H$152,7,FALSE)</f>
        <v>3</v>
      </c>
      <c r="H108" s="148" t="str">
        <f>VLOOKUP($A108,'Orginal data'!$A$2:$H$152,8,FALSE)</f>
        <v>Other</v>
      </c>
    </row>
    <row r="109" spans="1:8">
      <c r="A109" s="150" t="s">
        <v>216</v>
      </c>
      <c r="B109" s="148" t="str">
        <f>VLOOKUP($A109,'Orginal data'!$A$2:$H$152,2,FALSE)</f>
        <v>Eve Adams</v>
      </c>
      <c r="C109" s="148" t="str">
        <f>VLOOKUP($A109,'Orginal data'!$A$2:$H$152,3,FALSE)</f>
        <v>IT</v>
      </c>
      <c r="D109" s="148" t="str">
        <f>VLOOKUP($A109,'Orginal data'!$A$2:$H$152,4,FALSE)</f>
        <v>Unknown</v>
      </c>
      <c r="E109" s="54">
        <f>VLOOKUP($A109,'Orginal data'!$A$2:$H$152,5,FALSE)</f>
        <v>48325</v>
      </c>
      <c r="F109" s="149">
        <f>VLOOKUP($A109,'Orginal data'!$A$2:$H$152,6,FALSE)</f>
        <v>42750</v>
      </c>
      <c r="G109" s="56">
        <f>VLOOKUP($A109,'Orginal data'!$A$2:$H$152,7,FALSE)</f>
        <v>2.8947368421052633</v>
      </c>
      <c r="H109" s="148" t="str">
        <f>VLOOKUP($A109,'Orginal data'!$A$2:$H$152,8,FALSE)</f>
        <v>Male</v>
      </c>
    </row>
    <row r="110" spans="1:8">
      <c r="A110" s="150" t="s">
        <v>218</v>
      </c>
      <c r="B110" s="148" t="str">
        <f>VLOOKUP($A110,'Orginal data'!$A$2:$H$152,2,FALSE)</f>
        <v>Sam Wilson</v>
      </c>
      <c r="C110" s="148" t="str">
        <f>VLOOKUP($A110,'Orginal data'!$A$2:$H$152,3,FALSE)</f>
        <v>Marketing</v>
      </c>
      <c r="D110" s="148" t="str">
        <f>VLOOKUP($A110,'Orginal data'!$A$2:$H$152,4,FALSE)</f>
        <v>Australia</v>
      </c>
      <c r="E110" s="54">
        <f>VLOOKUP($A110,'Orginal data'!$A$2:$H$152,5,FALSE)</f>
        <v>86412</v>
      </c>
      <c r="F110" s="149">
        <f>VLOOKUP($A110,'Orginal data'!$A$2:$H$152,6,FALSE)</f>
        <v>42757</v>
      </c>
      <c r="G110" s="56">
        <f>VLOOKUP($A110,'Orginal data'!$A$2:$H$152,7,FALSE)</f>
        <v>2</v>
      </c>
      <c r="H110" s="148" t="str">
        <f>VLOOKUP($A110,'Orginal data'!$A$2:$H$152,8,FALSE)</f>
        <v>Female</v>
      </c>
    </row>
    <row r="111" spans="1:8">
      <c r="A111" s="150" t="s">
        <v>219</v>
      </c>
      <c r="B111" s="148" t="str">
        <f>VLOOKUP($A111,'Orginal data'!$A$2:$H$152,2,FALSE)</f>
        <v>Sam Wilson</v>
      </c>
      <c r="C111" s="148" t="str">
        <f>VLOOKUP($A111,'Orginal data'!$A$2:$H$152,3,FALSE)</f>
        <v>HR</v>
      </c>
      <c r="D111" s="148" t="str">
        <f>VLOOKUP($A111,'Orginal data'!$A$2:$H$152,4,FALSE)</f>
        <v>Unknown</v>
      </c>
      <c r="E111" s="54">
        <f>VLOOKUP($A111,'Orginal data'!$A$2:$H$152,5,FALSE)</f>
        <v>66761</v>
      </c>
      <c r="F111" s="149">
        <f>VLOOKUP($A111,'Orginal data'!$A$2:$H$152,6,FALSE)</f>
        <v>42764</v>
      </c>
      <c r="G111" s="56">
        <f>VLOOKUP($A111,'Orginal data'!$A$2:$H$152,7,FALSE)</f>
        <v>1</v>
      </c>
      <c r="H111" s="148" t="str">
        <f>VLOOKUP($A111,'Orginal data'!$A$2:$H$152,8,FALSE)</f>
        <v>Unknown</v>
      </c>
    </row>
    <row r="112" spans="1:8">
      <c r="A112" s="150" t="s">
        <v>221</v>
      </c>
      <c r="B112" s="148" t="str">
        <f>VLOOKUP($A112,'Orginal data'!$A$2:$H$152,2,FALSE)</f>
        <v>Jane Smith</v>
      </c>
      <c r="C112" s="148" t="str">
        <f>VLOOKUP($A112,'Orginal data'!$A$2:$H$152,3,FALSE)</f>
        <v>Unknown</v>
      </c>
      <c r="D112" s="148" t="str">
        <f>VLOOKUP($A112,'Orginal data'!$A$2:$H$152,4,FALSE)</f>
        <v>India</v>
      </c>
      <c r="E112" s="54">
        <f>VLOOKUP($A112,'Orginal data'!$A$2:$H$152,5,FALSE)</f>
        <v>88850</v>
      </c>
      <c r="F112" s="149">
        <f>VLOOKUP($A112,'Orginal data'!$A$2:$H$152,6,FALSE)</f>
        <v>42771</v>
      </c>
      <c r="G112" s="56">
        <f>VLOOKUP($A112,'Orginal data'!$A$2:$H$152,7,FALSE)</f>
        <v>1</v>
      </c>
      <c r="H112" s="148" t="str">
        <f>VLOOKUP($A112,'Orginal data'!$A$2:$H$152,8,FALSE)</f>
        <v>Female</v>
      </c>
    </row>
    <row r="113" spans="1:8">
      <c r="A113" s="150" t="s">
        <v>223</v>
      </c>
      <c r="B113" s="148" t="str">
        <f>VLOOKUP($A113,'Orginal data'!$A$2:$H$152,2,FALSE)</f>
        <v>Chris Lee</v>
      </c>
      <c r="C113" s="148" t="str">
        <f>VLOOKUP($A113,'Orginal data'!$A$2:$H$152,3,FALSE)</f>
        <v>Sales</v>
      </c>
      <c r="D113" s="148" t="str">
        <f>VLOOKUP($A113,'Orginal data'!$A$2:$H$152,4,FALSE)</f>
        <v>India</v>
      </c>
      <c r="E113" s="54">
        <f>VLOOKUP($A113,'Orginal data'!$A$2:$H$152,5,FALSE)</f>
        <v>31293</v>
      </c>
      <c r="F113" s="149" t="str">
        <f>VLOOKUP($A113,'Orginal data'!$A$2:$H$152,6,FALSE)</f>
        <v>Unknown</v>
      </c>
      <c r="G113" s="56">
        <f>VLOOKUP($A113,'Orginal data'!$A$2:$H$152,7,FALSE)</f>
        <v>2</v>
      </c>
      <c r="H113" s="148" t="str">
        <f>VLOOKUP($A113,'Orginal data'!$A$2:$H$152,8,FALSE)</f>
        <v>Female</v>
      </c>
    </row>
    <row r="114" spans="1:8">
      <c r="A114" s="150" t="s">
        <v>225</v>
      </c>
      <c r="B114" s="148" t="str">
        <f>VLOOKUP($A114,'Orginal data'!$A$2:$H$152,2,FALSE)</f>
        <v>Chris Lee</v>
      </c>
      <c r="C114" s="148" t="str">
        <f>VLOOKUP($A114,'Orginal data'!$A$2:$H$152,3,FALSE)</f>
        <v>IT</v>
      </c>
      <c r="D114" s="148" t="str">
        <f>VLOOKUP($A114,'Orginal data'!$A$2:$H$152,4,FALSE)</f>
        <v>USA</v>
      </c>
      <c r="E114" s="54">
        <f>VLOOKUP($A114,'Orginal data'!$A$2:$H$152,5,FALSE)</f>
        <v>34306</v>
      </c>
      <c r="F114" s="149">
        <f>VLOOKUP($A114,'Orginal data'!$A$2:$H$152,6,FALSE)</f>
        <v>42785</v>
      </c>
      <c r="G114" s="56">
        <f>VLOOKUP($A114,'Orginal data'!$A$2:$H$152,7,FALSE)</f>
        <v>5</v>
      </c>
      <c r="H114" s="148" t="str">
        <f>VLOOKUP($A114,'Orginal data'!$A$2:$H$152,8,FALSE)</f>
        <v>Female</v>
      </c>
    </row>
    <row r="115" spans="1:8">
      <c r="A115" s="150" t="s">
        <v>226</v>
      </c>
      <c r="B115" s="148" t="str">
        <f>VLOOKUP($A115,'Orginal data'!$A$2:$H$152,2,FALSE)</f>
        <v>Eve Adams</v>
      </c>
      <c r="C115" s="148" t="str">
        <f>VLOOKUP($A115,'Orginal data'!$A$2:$H$152,3,FALSE)</f>
        <v>Finance</v>
      </c>
      <c r="D115" s="148" t="str">
        <f>VLOOKUP($A115,'Orginal data'!$A$2:$H$152,4,FALSE)</f>
        <v>India</v>
      </c>
      <c r="E115" s="54">
        <f>VLOOKUP($A115,'Orginal data'!$A$2:$H$152,5,FALSE)</f>
        <v>78330</v>
      </c>
      <c r="F115" s="149">
        <f>VLOOKUP($A115,'Orginal data'!$A$2:$H$152,6,FALSE)</f>
        <v>42792</v>
      </c>
      <c r="G115" s="56">
        <f>VLOOKUP($A115,'Orginal data'!$A$2:$H$152,7,FALSE)</f>
        <v>3</v>
      </c>
      <c r="H115" s="148" t="str">
        <f>VLOOKUP($A115,'Orginal data'!$A$2:$H$152,8,FALSE)</f>
        <v>Other</v>
      </c>
    </row>
    <row r="116" spans="1:8">
      <c r="A116" s="150" t="s">
        <v>227</v>
      </c>
      <c r="B116" s="148" t="str">
        <f>VLOOKUP($A116,'Orginal data'!$A$2:$H$152,2,FALSE)</f>
        <v>Alice Brown</v>
      </c>
      <c r="C116" s="148" t="str">
        <f>VLOOKUP($A116,'Orginal data'!$A$2:$H$152,3,FALSE)</f>
        <v>IT</v>
      </c>
      <c r="D116" s="148" t="str">
        <f>VLOOKUP($A116,'Orginal data'!$A$2:$H$152,4,FALSE)</f>
        <v>USA</v>
      </c>
      <c r="E116" s="54">
        <f>VLOOKUP($A116,'Orginal data'!$A$2:$H$152,5,FALSE)</f>
        <v>47653</v>
      </c>
      <c r="F116" s="149">
        <f>VLOOKUP($A116,'Orginal data'!$A$2:$H$152,6,FALSE)</f>
        <v>42799</v>
      </c>
      <c r="G116" s="56">
        <f>VLOOKUP($A116,'Orginal data'!$A$2:$H$152,7,FALSE)</f>
        <v>1</v>
      </c>
      <c r="H116" s="148" t="str">
        <f>VLOOKUP($A116,'Orginal data'!$A$2:$H$152,8,FALSE)</f>
        <v>Male</v>
      </c>
    </row>
    <row r="117" spans="1:8">
      <c r="A117" s="150" t="s">
        <v>229</v>
      </c>
      <c r="B117" s="148" t="str">
        <f>VLOOKUP($A117,'Orginal data'!$A$2:$H$152,2,FALSE)</f>
        <v>Eve Adams</v>
      </c>
      <c r="C117" s="148" t="str">
        <f>VLOOKUP($A117,'Orginal data'!$A$2:$H$152,3,FALSE)</f>
        <v>Marketing</v>
      </c>
      <c r="D117" s="148" t="str">
        <f>VLOOKUP($A117,'Orginal data'!$A$2:$H$152,4,FALSE)</f>
        <v>UK</v>
      </c>
      <c r="E117" s="54">
        <f>VLOOKUP($A117,'Orginal data'!$A$2:$H$152,5,FALSE)</f>
        <v>44627</v>
      </c>
      <c r="F117" s="149">
        <f>VLOOKUP($A117,'Orginal data'!$A$2:$H$152,6,FALSE)</f>
        <v>42806</v>
      </c>
      <c r="G117" s="56">
        <f>VLOOKUP($A117,'Orginal data'!$A$2:$H$152,7,FALSE)</f>
        <v>4</v>
      </c>
      <c r="H117" s="148" t="str">
        <f>VLOOKUP($A117,'Orginal data'!$A$2:$H$152,8,FALSE)</f>
        <v>Unknown</v>
      </c>
    </row>
    <row r="118" spans="1:8">
      <c r="A118" s="150" t="s">
        <v>230</v>
      </c>
      <c r="B118" s="148" t="str">
        <f>VLOOKUP($A118,'Orginal data'!$A$2:$H$152,2,FALSE)</f>
        <v>Bob Johnson</v>
      </c>
      <c r="C118" s="148" t="str">
        <f>VLOOKUP($A118,'Orginal data'!$A$2:$H$152,3,FALSE)</f>
        <v>HR</v>
      </c>
      <c r="D118" s="148" t="str">
        <f>VLOOKUP($A118,'Orginal data'!$A$2:$H$152,4,FALSE)</f>
        <v>Germany</v>
      </c>
      <c r="E118" s="54">
        <f>VLOOKUP($A118,'Orginal data'!$A$2:$H$152,5,FALSE)</f>
        <v>92343</v>
      </c>
      <c r="F118" s="149">
        <f>VLOOKUP($A118,'Orginal data'!$A$2:$H$152,6,FALSE)</f>
        <v>42813</v>
      </c>
      <c r="G118" s="56">
        <f>VLOOKUP($A118,'Orginal data'!$A$2:$H$152,7,FALSE)</f>
        <v>4</v>
      </c>
      <c r="H118" s="148" t="str">
        <f>VLOOKUP($A118,'Orginal data'!$A$2:$H$152,8,FALSE)</f>
        <v>Female</v>
      </c>
    </row>
    <row r="119" spans="1:8">
      <c r="A119" s="150" t="s">
        <v>231</v>
      </c>
      <c r="B119" s="148" t="str">
        <f>VLOOKUP($A119,'Orginal data'!$A$2:$H$152,2,FALSE)</f>
        <v>Bob Johnson</v>
      </c>
      <c r="C119" s="148" t="str">
        <f>VLOOKUP($A119,'Orginal data'!$A$2:$H$152,3,FALSE)</f>
        <v>Marketing</v>
      </c>
      <c r="D119" s="148" t="str">
        <f>VLOOKUP($A119,'Orginal data'!$A$2:$H$152,4,FALSE)</f>
        <v>Australia</v>
      </c>
      <c r="E119" s="54">
        <f>VLOOKUP($A119,'Orginal data'!$A$2:$H$152,5,FALSE)</f>
        <v>38837</v>
      </c>
      <c r="F119" s="149">
        <f>VLOOKUP($A119,'Orginal data'!$A$2:$H$152,6,FALSE)</f>
        <v>42820</v>
      </c>
      <c r="G119" s="56">
        <f>VLOOKUP($A119,'Orginal data'!$A$2:$H$152,7,FALSE)</f>
        <v>5</v>
      </c>
      <c r="H119" s="148" t="str">
        <f>VLOOKUP($A119,'Orginal data'!$A$2:$H$152,8,FALSE)</f>
        <v>Female</v>
      </c>
    </row>
    <row r="120" spans="1:8">
      <c r="A120" s="150" t="s">
        <v>232</v>
      </c>
      <c r="B120" s="148" t="str">
        <f>VLOOKUP($A120,'Orginal data'!$A$2:$H$152,2,FALSE)</f>
        <v>Bob Johnson</v>
      </c>
      <c r="C120" s="148" t="str">
        <f>VLOOKUP($A120,'Orginal data'!$A$2:$H$152,3,FALSE)</f>
        <v>Marketing</v>
      </c>
      <c r="D120" s="148" t="str">
        <f>VLOOKUP($A120,'Orginal data'!$A$2:$H$152,4,FALSE)</f>
        <v>Unknown</v>
      </c>
      <c r="E120" s="54">
        <f>VLOOKUP($A120,'Orginal data'!$A$2:$H$152,5,FALSE)</f>
        <v>73483</v>
      </c>
      <c r="F120" s="149">
        <f>VLOOKUP($A120,'Orginal data'!$A$2:$H$152,6,FALSE)</f>
        <v>42827</v>
      </c>
      <c r="G120" s="56">
        <f>VLOOKUP($A120,'Orginal data'!$A$2:$H$152,7,FALSE)</f>
        <v>1</v>
      </c>
      <c r="H120" s="148" t="str">
        <f>VLOOKUP($A120,'Orginal data'!$A$2:$H$152,8,FALSE)</f>
        <v>Unknown</v>
      </c>
    </row>
    <row r="121" spans="1:8">
      <c r="A121" s="150" t="s">
        <v>234</v>
      </c>
      <c r="B121" s="148" t="str">
        <f>VLOOKUP($A121,'Orginal data'!$A$2:$H$152,2,FALSE)</f>
        <v>Chris Lee</v>
      </c>
      <c r="C121" s="148" t="str">
        <f>VLOOKUP($A121,'Orginal data'!$A$2:$H$152,3,FALSE)</f>
        <v>Sales</v>
      </c>
      <c r="D121" s="148" t="str">
        <f>VLOOKUP($A121,'Orginal data'!$A$2:$H$152,4,FALSE)</f>
        <v>India</v>
      </c>
      <c r="E121" s="54">
        <f>VLOOKUP($A121,'Orginal data'!$A$2:$H$152,5,FALSE)</f>
        <v>95032</v>
      </c>
      <c r="F121" s="149">
        <f>VLOOKUP($A121,'Orginal data'!$A$2:$H$152,6,FALSE)</f>
        <v>42834</v>
      </c>
      <c r="G121" s="56">
        <f>VLOOKUP($A121,'Orginal data'!$A$2:$H$152,7,FALSE)</f>
        <v>3</v>
      </c>
      <c r="H121" s="148" t="str">
        <f>VLOOKUP($A121,'Orginal data'!$A$2:$H$152,8,FALSE)</f>
        <v>Unknown</v>
      </c>
    </row>
    <row r="122" spans="1:8">
      <c r="A122" s="150" t="s">
        <v>236</v>
      </c>
      <c r="B122" s="148" t="str">
        <f>VLOOKUP($A122,'Orginal data'!$A$2:$H$152,2,FALSE)</f>
        <v>Eve Adams</v>
      </c>
      <c r="C122" s="148" t="str">
        <f>VLOOKUP($A122,'Orginal data'!$A$2:$H$152,3,FALSE)</f>
        <v>Sales</v>
      </c>
      <c r="D122" s="148" t="str">
        <f>VLOOKUP($A122,'Orginal data'!$A$2:$H$152,4,FALSE)</f>
        <v>Australia</v>
      </c>
      <c r="E122" s="54">
        <f>VLOOKUP($A122,'Orginal data'!$A$2:$H$152,5,FALSE)</f>
        <v>44358</v>
      </c>
      <c r="F122" s="149">
        <f>VLOOKUP($A122,'Orginal data'!$A$2:$H$152,6,FALSE)</f>
        <v>42841</v>
      </c>
      <c r="G122" s="56">
        <f>VLOOKUP($A122,'Orginal data'!$A$2:$H$152,7,FALSE)</f>
        <v>3</v>
      </c>
      <c r="H122" s="148" t="str">
        <f>VLOOKUP($A122,'Orginal data'!$A$2:$H$152,8,FALSE)</f>
        <v>Female</v>
      </c>
    </row>
    <row r="123" spans="1:8">
      <c r="A123" s="150" t="s">
        <v>237</v>
      </c>
      <c r="B123" s="148" t="str">
        <f>VLOOKUP($A123,'Orginal data'!$A$2:$H$152,2,FALSE)</f>
        <v>Unknown</v>
      </c>
      <c r="C123" s="148" t="str">
        <f>VLOOKUP($A123,'Orginal data'!$A$2:$H$152,3,FALSE)</f>
        <v>IT</v>
      </c>
      <c r="D123" s="148" t="str">
        <f>VLOOKUP($A123,'Orginal data'!$A$2:$H$152,4,FALSE)</f>
        <v>USA</v>
      </c>
      <c r="E123" s="54">
        <f>VLOOKUP($A123,'Orginal data'!$A$2:$H$152,5,FALSE)</f>
        <v>63232.928571428572</v>
      </c>
      <c r="F123" s="149" t="str">
        <f>VLOOKUP($A123,'Orginal data'!$A$2:$H$152,6,FALSE)</f>
        <v>Unknown</v>
      </c>
      <c r="G123" s="56">
        <f>VLOOKUP($A123,'Orginal data'!$A$2:$H$152,7,FALSE)</f>
        <v>5</v>
      </c>
      <c r="H123" s="148" t="str">
        <f>VLOOKUP($A123,'Orginal data'!$A$2:$H$152,8,FALSE)</f>
        <v>Unknown</v>
      </c>
    </row>
    <row r="124" spans="1:8">
      <c r="A124" s="150" t="s">
        <v>239</v>
      </c>
      <c r="B124" s="148" t="str">
        <f>VLOOKUP($A124,'Orginal data'!$A$2:$H$152,2,FALSE)</f>
        <v>Chris Lee</v>
      </c>
      <c r="C124" s="148" t="str">
        <f>VLOOKUP($A124,'Orginal data'!$A$2:$H$152,3,FALSE)</f>
        <v>Sales</v>
      </c>
      <c r="D124" s="148" t="str">
        <f>VLOOKUP($A124,'Orginal data'!$A$2:$H$152,4,FALSE)</f>
        <v>USA</v>
      </c>
      <c r="E124" s="54">
        <f>VLOOKUP($A124,'Orginal data'!$A$2:$H$152,5,FALSE)</f>
        <v>45676</v>
      </c>
      <c r="F124" s="149">
        <f>VLOOKUP($A124,'Orginal data'!$A$2:$H$152,6,FALSE)</f>
        <v>42855</v>
      </c>
      <c r="G124" s="56">
        <f>VLOOKUP($A124,'Orginal data'!$A$2:$H$152,7,FALSE)</f>
        <v>2</v>
      </c>
      <c r="H124" s="148" t="str">
        <f>VLOOKUP($A124,'Orginal data'!$A$2:$H$152,8,FALSE)</f>
        <v>Unknown</v>
      </c>
    </row>
    <row r="125" spans="1:8">
      <c r="A125" s="150" t="s">
        <v>241</v>
      </c>
      <c r="B125" s="148" t="str">
        <f>VLOOKUP($A125,'Orginal data'!$A$2:$H$152,2,FALSE)</f>
        <v>Bob Johnson</v>
      </c>
      <c r="C125" s="148" t="str">
        <f>VLOOKUP($A125,'Orginal data'!$A$2:$H$152,3,FALSE)</f>
        <v>Sales</v>
      </c>
      <c r="D125" s="148" t="str">
        <f>VLOOKUP($A125,'Orginal data'!$A$2:$H$152,4,FALSE)</f>
        <v>Germany</v>
      </c>
      <c r="E125" s="54">
        <f>VLOOKUP($A125,'Orginal data'!$A$2:$H$152,5,FALSE)</f>
        <v>52036</v>
      </c>
      <c r="F125" s="149">
        <f>VLOOKUP($A125,'Orginal data'!$A$2:$H$152,6,FALSE)</f>
        <v>42862</v>
      </c>
      <c r="G125" s="56">
        <f>VLOOKUP($A125,'Orginal data'!$A$2:$H$152,7,FALSE)</f>
        <v>3</v>
      </c>
      <c r="H125" s="148" t="str">
        <f>VLOOKUP($A125,'Orginal data'!$A$2:$H$152,8,FALSE)</f>
        <v>Male</v>
      </c>
    </row>
    <row r="126" spans="1:8">
      <c r="A126" s="150" t="s">
        <v>243</v>
      </c>
      <c r="B126" s="148" t="str">
        <f>VLOOKUP($A126,'Orginal data'!$A$2:$H$152,2,FALSE)</f>
        <v>Jane Smith</v>
      </c>
      <c r="C126" s="148" t="str">
        <f>VLOOKUP($A126,'Orginal data'!$A$2:$H$152,3,FALSE)</f>
        <v>Unknown</v>
      </c>
      <c r="D126" s="148" t="str">
        <f>VLOOKUP($A126,'Orginal data'!$A$2:$H$152,4,FALSE)</f>
        <v>Germany</v>
      </c>
      <c r="E126" s="54">
        <f>VLOOKUP($A126,'Orginal data'!$A$2:$H$152,5,FALSE)</f>
        <v>30357</v>
      </c>
      <c r="F126" s="149">
        <f>VLOOKUP($A126,'Orginal data'!$A$2:$H$152,6,FALSE)</f>
        <v>42869</v>
      </c>
      <c r="G126" s="56">
        <f>VLOOKUP($A126,'Orginal data'!$A$2:$H$152,7,FALSE)</f>
        <v>5</v>
      </c>
      <c r="H126" s="148" t="str">
        <f>VLOOKUP($A126,'Orginal data'!$A$2:$H$152,8,FALSE)</f>
        <v>Male</v>
      </c>
    </row>
    <row r="127" spans="1:8">
      <c r="A127" s="150" t="s">
        <v>244</v>
      </c>
      <c r="B127" s="148" t="str">
        <f>VLOOKUP($A127,'Orginal data'!$A$2:$H$152,2,FALSE)</f>
        <v>John Doe</v>
      </c>
      <c r="C127" s="148" t="str">
        <f>VLOOKUP($A127,'Orginal data'!$A$2:$H$152,3,FALSE)</f>
        <v>IT</v>
      </c>
      <c r="D127" s="148" t="str">
        <f>VLOOKUP($A127,'Orginal data'!$A$2:$H$152,4,FALSE)</f>
        <v>Unknown</v>
      </c>
      <c r="E127" s="54">
        <f>VLOOKUP($A127,'Orginal data'!$A$2:$H$152,5,FALSE)</f>
        <v>60034</v>
      </c>
      <c r="F127" s="149">
        <f>VLOOKUP($A127,'Orginal data'!$A$2:$H$152,6,FALSE)</f>
        <v>42876</v>
      </c>
      <c r="G127" s="56">
        <f>VLOOKUP($A127,'Orginal data'!$A$2:$H$152,7,FALSE)</f>
        <v>1</v>
      </c>
      <c r="H127" s="148" t="str">
        <f>VLOOKUP($A127,'Orginal data'!$A$2:$H$152,8,FALSE)</f>
        <v>Female</v>
      </c>
    </row>
    <row r="128" spans="1:8">
      <c r="A128" s="150" t="s">
        <v>246</v>
      </c>
      <c r="B128" s="148" t="str">
        <f>VLOOKUP($A128,'Orginal data'!$A$2:$H$152,2,FALSE)</f>
        <v>John Doe</v>
      </c>
      <c r="C128" s="148" t="str">
        <f>VLOOKUP($A128,'Orginal data'!$A$2:$H$152,3,FALSE)</f>
        <v>Finance</v>
      </c>
      <c r="D128" s="148" t="str">
        <f>VLOOKUP($A128,'Orginal data'!$A$2:$H$152,4,FALSE)</f>
        <v>Unknown</v>
      </c>
      <c r="E128" s="54">
        <f>VLOOKUP($A128,'Orginal data'!$A$2:$H$152,5,FALSE)</f>
        <v>90019</v>
      </c>
      <c r="F128" s="149">
        <f>VLOOKUP($A128,'Orginal data'!$A$2:$H$152,6,FALSE)</f>
        <v>42883</v>
      </c>
      <c r="G128" s="56">
        <f>VLOOKUP($A128,'Orginal data'!$A$2:$H$152,7,FALSE)</f>
        <v>5</v>
      </c>
      <c r="H128" s="148" t="str">
        <f>VLOOKUP($A128,'Orginal data'!$A$2:$H$152,8,FALSE)</f>
        <v>Unknown</v>
      </c>
    </row>
    <row r="129" spans="1:8">
      <c r="A129" s="150" t="s">
        <v>248</v>
      </c>
      <c r="B129" s="148" t="str">
        <f>VLOOKUP($A129,'Orginal data'!$A$2:$H$152,2,FALSE)</f>
        <v>Bob Johnson</v>
      </c>
      <c r="C129" s="148" t="str">
        <f>VLOOKUP($A129,'Orginal data'!$A$2:$H$152,3,FALSE)</f>
        <v>Unknown</v>
      </c>
      <c r="D129" s="148" t="str">
        <f>VLOOKUP($A129,'Orginal data'!$A$2:$H$152,4,FALSE)</f>
        <v>Germany</v>
      </c>
      <c r="E129" s="54">
        <f>VLOOKUP($A129,'Orginal data'!$A$2:$H$152,5,FALSE)</f>
        <v>71494</v>
      </c>
      <c r="F129" s="149">
        <f>VLOOKUP($A129,'Orginal data'!$A$2:$H$152,6,FALSE)</f>
        <v>42890</v>
      </c>
      <c r="G129" s="56">
        <f>VLOOKUP($A129,'Orginal data'!$A$2:$H$152,7,FALSE)</f>
        <v>3</v>
      </c>
      <c r="H129" s="148" t="str">
        <f>VLOOKUP($A129,'Orginal data'!$A$2:$H$152,8,FALSE)</f>
        <v>Male</v>
      </c>
    </row>
    <row r="130" spans="1:8">
      <c r="A130" s="150" t="s">
        <v>250</v>
      </c>
      <c r="B130" s="148" t="str">
        <f>VLOOKUP($A130,'Orginal data'!$A$2:$H$152,2,FALSE)</f>
        <v>John Doe</v>
      </c>
      <c r="C130" s="148" t="str">
        <f>VLOOKUP($A130,'Orginal data'!$A$2:$H$152,3,FALSE)</f>
        <v>Finance</v>
      </c>
      <c r="D130" s="148" t="str">
        <f>VLOOKUP($A130,'Orginal data'!$A$2:$H$152,4,FALSE)</f>
        <v>USA</v>
      </c>
      <c r="E130" s="54">
        <f>VLOOKUP($A130,'Orginal data'!$A$2:$H$152,5,FALSE)</f>
        <v>91953</v>
      </c>
      <c r="F130" s="149">
        <f>VLOOKUP($A130,'Orginal data'!$A$2:$H$152,6,FALSE)</f>
        <v>42897</v>
      </c>
      <c r="G130" s="56">
        <f>VLOOKUP($A130,'Orginal data'!$A$2:$H$152,7,FALSE)</f>
        <v>2</v>
      </c>
      <c r="H130" s="148" t="str">
        <f>VLOOKUP($A130,'Orginal data'!$A$2:$H$152,8,FALSE)</f>
        <v>Male</v>
      </c>
    </row>
    <row r="131" spans="1:8">
      <c r="A131" s="150" t="s">
        <v>251</v>
      </c>
      <c r="B131" s="148" t="str">
        <f>VLOOKUP($A131,'Orginal data'!$A$2:$H$152,2,FALSE)</f>
        <v>Chris Lee</v>
      </c>
      <c r="C131" s="148" t="str">
        <f>VLOOKUP($A131,'Orginal data'!$A$2:$H$152,3,FALSE)</f>
        <v>Sales</v>
      </c>
      <c r="D131" s="148" t="str">
        <f>VLOOKUP($A131,'Orginal data'!$A$2:$H$152,4,FALSE)</f>
        <v>USA</v>
      </c>
      <c r="E131" s="54">
        <f>VLOOKUP($A131,'Orginal data'!$A$2:$H$152,5,FALSE)</f>
        <v>30402</v>
      </c>
      <c r="F131" s="149">
        <f>VLOOKUP($A131,'Orginal data'!$A$2:$H$152,6,FALSE)</f>
        <v>42904</v>
      </c>
      <c r="G131" s="56">
        <f>VLOOKUP($A131,'Orginal data'!$A$2:$H$152,7,FALSE)</f>
        <v>1</v>
      </c>
      <c r="H131" s="148" t="str">
        <f>VLOOKUP($A131,'Orginal data'!$A$2:$H$152,8,FALSE)</f>
        <v>Unknown</v>
      </c>
    </row>
    <row r="132" spans="1:8">
      <c r="A132" s="150" t="s">
        <v>253</v>
      </c>
      <c r="B132" s="148" t="str">
        <f>VLOOKUP($A132,'Orginal data'!$A$2:$H$152,2,FALSE)</f>
        <v>Bob Johnson</v>
      </c>
      <c r="C132" s="148" t="str">
        <f>VLOOKUP($A132,'Orginal data'!$A$2:$H$152,3,FALSE)</f>
        <v>Unknown</v>
      </c>
      <c r="D132" s="148" t="str">
        <f>VLOOKUP($A132,'Orginal data'!$A$2:$H$152,4,FALSE)</f>
        <v>UK</v>
      </c>
      <c r="E132" s="54">
        <f>VLOOKUP($A132,'Orginal data'!$A$2:$H$152,5,FALSE)</f>
        <v>62994</v>
      </c>
      <c r="F132" s="149">
        <f>VLOOKUP($A132,'Orginal data'!$A$2:$H$152,6,FALSE)</f>
        <v>42911</v>
      </c>
      <c r="G132" s="56">
        <f>VLOOKUP($A132,'Orginal data'!$A$2:$H$152,7,FALSE)</f>
        <v>3</v>
      </c>
      <c r="H132" s="148" t="str">
        <f>VLOOKUP($A132,'Orginal data'!$A$2:$H$152,8,FALSE)</f>
        <v>Unknown</v>
      </c>
    </row>
    <row r="133" spans="1:8">
      <c r="A133" s="150" t="s">
        <v>254</v>
      </c>
      <c r="B133" s="148" t="str">
        <f>VLOOKUP($A133,'Orginal data'!$A$2:$H$152,2,FALSE)</f>
        <v>Alice Brown</v>
      </c>
      <c r="C133" s="148" t="str">
        <f>VLOOKUP($A133,'Orginal data'!$A$2:$H$152,3,FALSE)</f>
        <v>Sales</v>
      </c>
      <c r="D133" s="148" t="str">
        <f>VLOOKUP($A133,'Orginal data'!$A$2:$H$152,4,FALSE)</f>
        <v>India</v>
      </c>
      <c r="E133" s="54">
        <f>VLOOKUP($A133,'Orginal data'!$A$2:$H$152,5,FALSE)</f>
        <v>48289</v>
      </c>
      <c r="F133" s="149" t="str">
        <f>VLOOKUP($A133,'Orginal data'!$A$2:$H$152,6,FALSE)</f>
        <v>Unknown</v>
      </c>
      <c r="G133" s="56">
        <f>VLOOKUP($A133,'Orginal data'!$A$2:$H$152,7,FALSE)</f>
        <v>3</v>
      </c>
      <c r="H133" s="148" t="str">
        <f>VLOOKUP($A133,'Orginal data'!$A$2:$H$152,8,FALSE)</f>
        <v>Male</v>
      </c>
    </row>
    <row r="134" spans="1:8">
      <c r="A134" s="150" t="s">
        <v>255</v>
      </c>
      <c r="B134" s="148" t="str">
        <f>VLOOKUP($A134,'Orginal data'!$A$2:$H$152,2,FALSE)</f>
        <v>Sam Wilson</v>
      </c>
      <c r="C134" s="148" t="str">
        <f>VLOOKUP($A134,'Orginal data'!$A$2:$H$152,3,FALSE)</f>
        <v>Marketing</v>
      </c>
      <c r="D134" s="148" t="str">
        <f>VLOOKUP($A134,'Orginal data'!$A$2:$H$152,4,FALSE)</f>
        <v>Germany</v>
      </c>
      <c r="E134" s="54">
        <f>VLOOKUP($A134,'Orginal data'!$A$2:$H$152,5,FALSE)</f>
        <v>34402</v>
      </c>
      <c r="F134" s="149">
        <f>VLOOKUP($A134,'Orginal data'!$A$2:$H$152,6,FALSE)</f>
        <v>42925</v>
      </c>
      <c r="G134" s="56">
        <f>VLOOKUP($A134,'Orginal data'!$A$2:$H$152,7,FALSE)</f>
        <v>3</v>
      </c>
      <c r="H134" s="148" t="str">
        <f>VLOOKUP($A134,'Orginal data'!$A$2:$H$152,8,FALSE)</f>
        <v>Other</v>
      </c>
    </row>
    <row r="135" spans="1:8">
      <c r="A135" s="150" t="s">
        <v>256</v>
      </c>
      <c r="B135" s="148" t="str">
        <f>VLOOKUP($A135,'Orginal data'!$A$2:$H$152,2,FALSE)</f>
        <v>Eve Adams</v>
      </c>
      <c r="C135" s="148" t="str">
        <f>VLOOKUP($A135,'Orginal data'!$A$2:$H$152,3,FALSE)</f>
        <v>HR</v>
      </c>
      <c r="D135" s="148" t="str">
        <f>VLOOKUP($A135,'Orginal data'!$A$2:$H$152,4,FALSE)</f>
        <v>USA</v>
      </c>
      <c r="E135" s="54">
        <f>VLOOKUP($A135,'Orginal data'!$A$2:$H$152,5,FALSE)</f>
        <v>38678</v>
      </c>
      <c r="F135" s="149">
        <f>VLOOKUP($A135,'Orginal data'!$A$2:$H$152,6,FALSE)</f>
        <v>42932</v>
      </c>
      <c r="G135" s="56">
        <f>VLOOKUP($A135,'Orginal data'!$A$2:$H$152,7,FALSE)</f>
        <v>3</v>
      </c>
      <c r="H135" s="148" t="str">
        <f>VLOOKUP($A135,'Orginal data'!$A$2:$H$152,8,FALSE)</f>
        <v>Other</v>
      </c>
    </row>
    <row r="136" spans="1:8">
      <c r="A136" s="150" t="s">
        <v>258</v>
      </c>
      <c r="B136" s="148" t="str">
        <f>VLOOKUP($A136,'Orginal data'!$A$2:$H$152,2,FALSE)</f>
        <v>Chris Lee</v>
      </c>
      <c r="C136" s="148" t="str">
        <f>VLOOKUP($A136,'Orginal data'!$A$2:$H$152,3,FALSE)</f>
        <v>HR</v>
      </c>
      <c r="D136" s="148" t="str">
        <f>VLOOKUP($A136,'Orginal data'!$A$2:$H$152,4,FALSE)</f>
        <v>Germany</v>
      </c>
      <c r="E136" s="54">
        <f>VLOOKUP($A136,'Orginal data'!$A$2:$H$152,5,FALSE)</f>
        <v>45758</v>
      </c>
      <c r="F136" s="149">
        <f>VLOOKUP($A136,'Orginal data'!$A$2:$H$152,6,FALSE)</f>
        <v>42939</v>
      </c>
      <c r="G136" s="56">
        <f>VLOOKUP($A136,'Orginal data'!$A$2:$H$152,7,FALSE)</f>
        <v>3</v>
      </c>
      <c r="H136" s="148" t="str">
        <f>VLOOKUP($A136,'Orginal data'!$A$2:$H$152,8,FALSE)</f>
        <v>Unknown</v>
      </c>
    </row>
    <row r="137" spans="1:8">
      <c r="A137" s="150" t="s">
        <v>259</v>
      </c>
      <c r="B137" s="148" t="str">
        <f>VLOOKUP($A137,'Orginal data'!$A$2:$H$152,2,FALSE)</f>
        <v>Eve Adams</v>
      </c>
      <c r="C137" s="148" t="str">
        <f>VLOOKUP($A137,'Orginal data'!$A$2:$H$152,3,FALSE)</f>
        <v>Marketing</v>
      </c>
      <c r="D137" s="148" t="str">
        <f>VLOOKUP($A137,'Orginal data'!$A$2:$H$152,4,FALSE)</f>
        <v>India</v>
      </c>
      <c r="E137" s="54">
        <f>VLOOKUP($A137,'Orginal data'!$A$2:$H$152,5,FALSE)</f>
        <v>62476</v>
      </c>
      <c r="F137" s="149">
        <f>VLOOKUP($A137,'Orginal data'!$A$2:$H$152,6,FALSE)</f>
        <v>42946</v>
      </c>
      <c r="G137" s="56">
        <f>VLOOKUP($A137,'Orginal data'!$A$2:$H$152,7,FALSE)</f>
        <v>1</v>
      </c>
      <c r="H137" s="148" t="str">
        <f>VLOOKUP($A137,'Orginal data'!$A$2:$H$152,8,FALSE)</f>
        <v>Other</v>
      </c>
    </row>
    <row r="138" spans="1:8">
      <c r="A138" s="150" t="s">
        <v>260</v>
      </c>
      <c r="B138" s="148" t="str">
        <f>VLOOKUP($A138,'Orginal data'!$A$2:$H$152,2,FALSE)</f>
        <v>Unknown</v>
      </c>
      <c r="C138" s="148" t="str">
        <f>VLOOKUP($A138,'Orginal data'!$A$2:$H$152,3,FALSE)</f>
        <v>IT</v>
      </c>
      <c r="D138" s="148" t="str">
        <f>VLOOKUP($A138,'Orginal data'!$A$2:$H$152,4,FALSE)</f>
        <v>UK</v>
      </c>
      <c r="E138" s="54">
        <f>VLOOKUP($A138,'Orginal data'!$A$2:$H$152,5,FALSE)</f>
        <v>39280</v>
      </c>
      <c r="F138" s="149">
        <f>VLOOKUP($A138,'Orginal data'!$A$2:$H$152,6,FALSE)</f>
        <v>42953</v>
      </c>
      <c r="G138" s="56">
        <f>VLOOKUP($A138,'Orginal data'!$A$2:$H$152,7,FALSE)</f>
        <v>3</v>
      </c>
      <c r="H138" s="148" t="str">
        <f>VLOOKUP($A138,'Orginal data'!$A$2:$H$152,8,FALSE)</f>
        <v>Female</v>
      </c>
    </row>
    <row r="139" spans="1:8">
      <c r="A139" s="150" t="s">
        <v>261</v>
      </c>
      <c r="B139" s="148" t="str">
        <f>VLOOKUP($A139,'Orginal data'!$A$2:$H$152,2,FALSE)</f>
        <v>Jane Smith</v>
      </c>
      <c r="C139" s="148" t="str">
        <f>VLOOKUP($A139,'Orginal data'!$A$2:$H$152,3,FALSE)</f>
        <v>Finance</v>
      </c>
      <c r="D139" s="148" t="str">
        <f>VLOOKUP($A139,'Orginal data'!$A$2:$H$152,4,FALSE)</f>
        <v>India</v>
      </c>
      <c r="E139" s="54">
        <f>VLOOKUP($A139,'Orginal data'!$A$2:$H$152,5,FALSE)</f>
        <v>60335</v>
      </c>
      <c r="F139" s="149">
        <f>VLOOKUP($A139,'Orginal data'!$A$2:$H$152,6,FALSE)</f>
        <v>42960</v>
      </c>
      <c r="G139" s="56">
        <f>VLOOKUP($A139,'Orginal data'!$A$2:$H$152,7,FALSE)</f>
        <v>4</v>
      </c>
      <c r="H139" s="148" t="str">
        <f>VLOOKUP($A139,'Orginal data'!$A$2:$H$152,8,FALSE)</f>
        <v>Other</v>
      </c>
    </row>
    <row r="140" spans="1:8">
      <c r="A140" s="150" t="s">
        <v>262</v>
      </c>
      <c r="B140" s="148" t="str">
        <f>VLOOKUP($A140,'Orginal data'!$A$2:$H$152,2,FALSE)</f>
        <v>Chris Lee</v>
      </c>
      <c r="C140" s="148" t="str">
        <f>VLOOKUP($A140,'Orginal data'!$A$2:$H$152,3,FALSE)</f>
        <v>HR</v>
      </c>
      <c r="D140" s="148" t="str">
        <f>VLOOKUP($A140,'Orginal data'!$A$2:$H$152,4,FALSE)</f>
        <v>Germany</v>
      </c>
      <c r="E140" s="54">
        <f>VLOOKUP($A140,'Orginal data'!$A$2:$H$152,5,FALSE)</f>
        <v>84968</v>
      </c>
      <c r="F140" s="149">
        <f>VLOOKUP($A140,'Orginal data'!$A$2:$H$152,6,FALSE)</f>
        <v>42967</v>
      </c>
      <c r="G140" s="56">
        <f>VLOOKUP($A140,'Orginal data'!$A$2:$H$152,7,FALSE)</f>
        <v>3.0909090909090908</v>
      </c>
      <c r="H140" s="148" t="str">
        <f>VLOOKUP($A140,'Orginal data'!$A$2:$H$152,8,FALSE)</f>
        <v>Unknown</v>
      </c>
    </row>
    <row r="141" spans="1:8">
      <c r="A141" s="150" t="s">
        <v>264</v>
      </c>
      <c r="B141" s="148" t="str">
        <f>VLOOKUP($A141,'Orginal data'!$A$2:$H$152,2,FALSE)</f>
        <v>Chris Lee</v>
      </c>
      <c r="C141" s="148" t="str">
        <f>VLOOKUP($A141,'Orginal data'!$A$2:$H$152,3,FALSE)</f>
        <v>Marketing</v>
      </c>
      <c r="D141" s="148" t="str">
        <f>VLOOKUP($A141,'Orginal data'!$A$2:$H$152,4,FALSE)</f>
        <v>Australia</v>
      </c>
      <c r="E141" s="54">
        <f>VLOOKUP($A141,'Orginal data'!$A$2:$H$152,5,FALSE)</f>
        <v>84750</v>
      </c>
      <c r="F141" s="149">
        <f>VLOOKUP($A141,'Orginal data'!$A$2:$H$152,6,FALSE)</f>
        <v>42974</v>
      </c>
      <c r="G141" s="56">
        <f>VLOOKUP($A141,'Orginal data'!$A$2:$H$152,7,FALSE)</f>
        <v>4</v>
      </c>
      <c r="H141" s="148" t="str">
        <f>VLOOKUP($A141,'Orginal data'!$A$2:$H$152,8,FALSE)</f>
        <v>Female</v>
      </c>
    </row>
    <row r="142" spans="1:8">
      <c r="A142" s="150" t="s">
        <v>265</v>
      </c>
      <c r="B142" s="148" t="str">
        <f>VLOOKUP($A142,'Orginal data'!$A$2:$H$152,2,FALSE)</f>
        <v>Bob Johnson</v>
      </c>
      <c r="C142" s="148" t="str">
        <f>VLOOKUP($A142,'Orginal data'!$A$2:$H$152,3,FALSE)</f>
        <v>IT</v>
      </c>
      <c r="D142" s="148" t="str">
        <f>VLOOKUP($A142,'Orginal data'!$A$2:$H$152,4,FALSE)</f>
        <v>Unknown</v>
      </c>
      <c r="E142" s="54">
        <f>VLOOKUP($A142,'Orginal data'!$A$2:$H$152,5,FALSE)</f>
        <v>73348</v>
      </c>
      <c r="F142" s="149">
        <f>VLOOKUP($A142,'Orginal data'!$A$2:$H$152,6,FALSE)</f>
        <v>42981</v>
      </c>
      <c r="G142" s="56">
        <f>VLOOKUP($A142,'Orginal data'!$A$2:$H$152,7,FALSE)</f>
        <v>2</v>
      </c>
      <c r="H142" s="148" t="str">
        <f>VLOOKUP($A142,'Orginal data'!$A$2:$H$152,8,FALSE)</f>
        <v>Unknown</v>
      </c>
    </row>
    <row r="143" spans="1:8">
      <c r="A143" s="150" t="s">
        <v>266</v>
      </c>
      <c r="B143" s="148" t="str">
        <f>VLOOKUP($A143,'Orginal data'!$A$2:$H$152,2,FALSE)</f>
        <v>Chris Lee</v>
      </c>
      <c r="C143" s="148" t="str">
        <f>VLOOKUP($A143,'Orginal data'!$A$2:$H$152,3,FALSE)</f>
        <v>Sales</v>
      </c>
      <c r="D143" s="148" t="str">
        <f>VLOOKUP($A143,'Orginal data'!$A$2:$H$152,4,FALSE)</f>
        <v>USA</v>
      </c>
      <c r="E143" s="54">
        <f>VLOOKUP($A143,'Orginal data'!$A$2:$H$152,5,FALSE)</f>
        <v>73697</v>
      </c>
      <c r="F143" s="149">
        <f>VLOOKUP($A143,'Orginal data'!$A$2:$H$152,6,FALSE)</f>
        <v>42988</v>
      </c>
      <c r="G143" s="56">
        <f>VLOOKUP($A143,'Orginal data'!$A$2:$H$152,7,FALSE)</f>
        <v>4</v>
      </c>
      <c r="H143" s="148" t="str">
        <f>VLOOKUP($A143,'Orginal data'!$A$2:$H$152,8,FALSE)</f>
        <v>Other</v>
      </c>
    </row>
    <row r="144" spans="1:8">
      <c r="A144" s="150" t="s">
        <v>267</v>
      </c>
      <c r="B144" s="148" t="str">
        <f>VLOOKUP($A144,'Orginal data'!$A$2:$H$152,2,FALSE)</f>
        <v>Jane Smith</v>
      </c>
      <c r="C144" s="148" t="str">
        <f>VLOOKUP($A144,'Orginal data'!$A$2:$H$152,3,FALSE)</f>
        <v>Marketing</v>
      </c>
      <c r="D144" s="148" t="str">
        <f>VLOOKUP($A144,'Orginal data'!$A$2:$H$152,4,FALSE)</f>
        <v>USA</v>
      </c>
      <c r="E144" s="54">
        <f>VLOOKUP($A144,'Orginal data'!$A$2:$H$152,5,FALSE)</f>
        <v>66882</v>
      </c>
      <c r="F144" s="149">
        <f>VLOOKUP($A144,'Orginal data'!$A$2:$H$152,6,FALSE)</f>
        <v>42995</v>
      </c>
      <c r="G144" s="56">
        <f>VLOOKUP($A144,'Orginal data'!$A$2:$H$152,7,FALSE)</f>
        <v>5</v>
      </c>
      <c r="H144" s="148" t="str">
        <f>VLOOKUP($A144,'Orginal data'!$A$2:$H$152,8,FALSE)</f>
        <v>Other</v>
      </c>
    </row>
    <row r="145" spans="1:8">
      <c r="A145" s="150" t="s">
        <v>268</v>
      </c>
      <c r="B145" s="148" t="str">
        <f>VLOOKUP($A145,'Orginal data'!$A$2:$H$152,2,FALSE)</f>
        <v>Alice Brown</v>
      </c>
      <c r="C145" s="148" t="str">
        <f>VLOOKUP($A145,'Orginal data'!$A$2:$H$152,3,FALSE)</f>
        <v>Marketing</v>
      </c>
      <c r="D145" s="148" t="str">
        <f>VLOOKUP($A145,'Orginal data'!$A$2:$H$152,4,FALSE)</f>
        <v>Unknown</v>
      </c>
      <c r="E145" s="54">
        <f>VLOOKUP($A145,'Orginal data'!$A$2:$H$152,5,FALSE)</f>
        <v>86775</v>
      </c>
      <c r="F145" s="149">
        <f>VLOOKUP($A145,'Orginal data'!$A$2:$H$152,6,FALSE)</f>
        <v>43002</v>
      </c>
      <c r="G145" s="56">
        <f>VLOOKUP($A145,'Orginal data'!$A$2:$H$152,7,FALSE)</f>
        <v>3</v>
      </c>
      <c r="H145" s="148" t="str">
        <f>VLOOKUP($A145,'Orginal data'!$A$2:$H$152,8,FALSE)</f>
        <v>Other</v>
      </c>
    </row>
    <row r="146" spans="1:8">
      <c r="A146" s="150" t="s">
        <v>269</v>
      </c>
      <c r="B146" s="148" t="str">
        <f>VLOOKUP($A146,'Orginal data'!$A$2:$H$152,2,FALSE)</f>
        <v>Chris Lee</v>
      </c>
      <c r="C146" s="148" t="str">
        <f>VLOOKUP($A146,'Orginal data'!$A$2:$H$152,3,FALSE)</f>
        <v>Sales</v>
      </c>
      <c r="D146" s="148" t="str">
        <f>VLOOKUP($A146,'Orginal data'!$A$2:$H$152,4,FALSE)</f>
        <v>UK</v>
      </c>
      <c r="E146" s="54">
        <f>VLOOKUP($A146,'Orginal data'!$A$2:$H$152,5,FALSE)</f>
        <v>91620</v>
      </c>
      <c r="F146" s="149">
        <f>VLOOKUP($A146,'Orginal data'!$A$2:$H$152,6,FALSE)</f>
        <v>43009</v>
      </c>
      <c r="G146" s="56">
        <f>VLOOKUP($A146,'Orginal data'!$A$2:$H$152,7,FALSE)</f>
        <v>2.6666666666666665</v>
      </c>
      <c r="H146" s="148" t="str">
        <f>VLOOKUP($A146,'Orginal data'!$A$2:$H$152,8,FALSE)</f>
        <v>Unknown</v>
      </c>
    </row>
    <row r="147" spans="1:8">
      <c r="A147" s="150" t="s">
        <v>271</v>
      </c>
      <c r="B147" s="148" t="str">
        <f>VLOOKUP($A147,'Orginal data'!$A$2:$H$152,2,FALSE)</f>
        <v>Eve Adams</v>
      </c>
      <c r="C147" s="148" t="str">
        <f>VLOOKUP($A147,'Orginal data'!$A$2:$H$152,3,FALSE)</f>
        <v>Unknown</v>
      </c>
      <c r="D147" s="148" t="str">
        <f>VLOOKUP($A147,'Orginal data'!$A$2:$H$152,4,FALSE)</f>
        <v>Unknown</v>
      </c>
      <c r="E147" s="54">
        <f>VLOOKUP($A147,'Orginal data'!$A$2:$H$152,5,FALSE)</f>
        <v>94148</v>
      </c>
      <c r="F147" s="149">
        <f>VLOOKUP($A147,'Orginal data'!$A$2:$H$152,6,FALSE)</f>
        <v>43016</v>
      </c>
      <c r="G147" s="56">
        <f>VLOOKUP($A147,'Orginal data'!$A$2:$H$152,7,FALSE)</f>
        <v>2</v>
      </c>
      <c r="H147" s="148" t="str">
        <f>VLOOKUP($A147,'Orginal data'!$A$2:$H$152,8,FALSE)</f>
        <v>Unknown</v>
      </c>
    </row>
    <row r="148" spans="1:8">
      <c r="A148" s="150" t="s">
        <v>273</v>
      </c>
      <c r="B148" s="148" t="str">
        <f>VLOOKUP($A148,'Orginal data'!$A$2:$H$152,2,FALSE)</f>
        <v>Sam Wilson</v>
      </c>
      <c r="C148" s="148" t="str">
        <f>VLOOKUP($A148,'Orginal data'!$A$2:$H$152,3,FALSE)</f>
        <v>Sales</v>
      </c>
      <c r="D148" s="148" t="str">
        <f>VLOOKUP($A148,'Orginal data'!$A$2:$H$152,4,FALSE)</f>
        <v>Australia</v>
      </c>
      <c r="E148" s="54">
        <f>VLOOKUP($A148,'Orginal data'!$A$2:$H$152,5,FALSE)</f>
        <v>35627</v>
      </c>
      <c r="F148" s="149">
        <f>VLOOKUP($A148,'Orginal data'!$A$2:$H$152,6,FALSE)</f>
        <v>43023</v>
      </c>
      <c r="G148" s="56">
        <f>VLOOKUP($A148,'Orginal data'!$A$2:$H$152,7,FALSE)</f>
        <v>5</v>
      </c>
      <c r="H148" s="148" t="str">
        <f>VLOOKUP($A148,'Orginal data'!$A$2:$H$152,8,FALSE)</f>
        <v>Female</v>
      </c>
    </row>
    <row r="149" spans="1:8">
      <c r="A149" s="150" t="s">
        <v>274</v>
      </c>
      <c r="B149" s="148" t="str">
        <f>VLOOKUP($A149,'Orginal data'!$A$2:$H$152,2,FALSE)</f>
        <v>John Doe</v>
      </c>
      <c r="C149" s="148" t="str">
        <f>VLOOKUP($A149,'Orginal data'!$A$2:$H$152,3,FALSE)</f>
        <v>Marketing</v>
      </c>
      <c r="D149" s="148" t="str">
        <f>VLOOKUP($A149,'Orginal data'!$A$2:$H$152,4,FALSE)</f>
        <v>USA</v>
      </c>
      <c r="E149" s="54">
        <f>VLOOKUP($A149,'Orginal data'!$A$2:$H$152,5,FALSE)</f>
        <v>57141</v>
      </c>
      <c r="F149" s="149">
        <f>VLOOKUP($A149,'Orginal data'!$A$2:$H$152,6,FALSE)</f>
        <v>43030</v>
      </c>
      <c r="G149" s="56">
        <f>VLOOKUP($A149,'Orginal data'!$A$2:$H$152,7,FALSE)</f>
        <v>2</v>
      </c>
      <c r="H149" s="148" t="str">
        <f>VLOOKUP($A149,'Orginal data'!$A$2:$H$152,8,FALSE)</f>
        <v>Unknown</v>
      </c>
    </row>
    <row r="150" spans="1:8">
      <c r="A150" s="150" t="s">
        <v>275</v>
      </c>
      <c r="B150" s="148" t="str">
        <f>VLOOKUP($A150,'Orginal data'!$A$2:$H$152,2,FALSE)</f>
        <v>Bob Johnson</v>
      </c>
      <c r="C150" s="148" t="str">
        <f>VLOOKUP($A150,'Orginal data'!$A$2:$H$152,3,FALSE)</f>
        <v>Sales</v>
      </c>
      <c r="D150" s="148" t="str">
        <f>VLOOKUP($A150,'Orginal data'!$A$2:$H$152,4,FALSE)</f>
        <v>Australia</v>
      </c>
      <c r="E150" s="54">
        <f>VLOOKUP($A150,'Orginal data'!$A$2:$H$152,5,FALSE)</f>
        <v>65270</v>
      </c>
      <c r="F150" s="149">
        <f>VLOOKUP($A150,'Orginal data'!$A$2:$H$152,6,FALSE)</f>
        <v>43037</v>
      </c>
      <c r="G150" s="56">
        <f>VLOOKUP($A150,'Orginal data'!$A$2:$H$152,7,FALSE)</f>
        <v>1</v>
      </c>
      <c r="H150" s="148" t="str">
        <f>VLOOKUP($A150,'Orginal data'!$A$2:$H$152,8,FALSE)</f>
        <v>Unknown</v>
      </c>
    </row>
    <row r="151" spans="1:8">
      <c r="A151" s="150" t="s">
        <v>277</v>
      </c>
      <c r="B151" s="148" t="str">
        <f>VLOOKUP($A151,'Orginal data'!$A$2:$H$152,2,FALSE)</f>
        <v>Bob Johnson</v>
      </c>
      <c r="C151" s="148" t="str">
        <f>VLOOKUP($A151,'Orginal data'!$A$2:$H$152,3,FALSE)</f>
        <v>Unknown</v>
      </c>
      <c r="D151" s="148" t="str">
        <f>VLOOKUP($A151,'Orginal data'!$A$2:$H$152,4,FALSE)</f>
        <v>UK</v>
      </c>
      <c r="E151" s="54">
        <f>VLOOKUP($A151,'Orginal data'!$A$2:$H$152,5,FALSE)</f>
        <v>67335</v>
      </c>
      <c r="F151" s="149">
        <f>VLOOKUP($A151,'Orginal data'!$A$2:$H$152,6,FALSE)</f>
        <v>43044</v>
      </c>
      <c r="G151" s="56">
        <f>VLOOKUP($A151,'Orginal data'!$A$2:$H$152,7,FALSE)</f>
        <v>1</v>
      </c>
      <c r="H151" s="148" t="str">
        <f>VLOOKUP($A151,'Orginal data'!$A$2:$H$152,8,FALSE)</f>
        <v>Other</v>
      </c>
    </row>
    <row r="152" spans="1:8">
      <c r="A152" s="150" t="s">
        <v>278</v>
      </c>
      <c r="B152" s="148" t="str">
        <f>VLOOKUP($A152,'Orginal data'!$A$2:$H$152,2,FALSE)</f>
        <v>Sam Wilson</v>
      </c>
      <c r="C152" s="148" t="str">
        <f>VLOOKUP($A152,'Orginal data'!$A$2:$H$152,3,FALSE)</f>
        <v>Marketing</v>
      </c>
      <c r="D152" s="148" t="str">
        <f>VLOOKUP($A152,'Orginal data'!$A$2:$H$152,4,FALSE)</f>
        <v>India</v>
      </c>
      <c r="E152" s="54">
        <f>VLOOKUP($A152,'Orginal data'!$A$2:$H$152,5,FALSE)</f>
        <v>98475</v>
      </c>
      <c r="F152" s="149">
        <f>VLOOKUP($A152,'Orginal data'!$A$2:$H$152,6,FALSE)</f>
        <v>43051</v>
      </c>
      <c r="G152" s="56">
        <f>VLOOKUP($A152,'Orginal data'!$A$2:$H$152,7,FALSE)</f>
        <v>5</v>
      </c>
      <c r="H152" s="148" t="str">
        <f>VLOOKUP($A152,'Orginal data'!$A$2:$H$152,8,FALSE)</f>
        <v>Other</v>
      </c>
    </row>
    <row r="153" spans="1:8">
      <c r="A153" s="150" t="s">
        <v>278</v>
      </c>
      <c r="B153" s="148" t="str">
        <f>VLOOKUP($A153,'Orginal data'!$A$2:$H$152,2,FALSE)</f>
        <v>Sam Wilson</v>
      </c>
      <c r="C153" s="148" t="str">
        <f>VLOOKUP($A153,'Orginal data'!$A$2:$H$152,3,FALSE)</f>
        <v>Marketing</v>
      </c>
      <c r="D153" s="148" t="str">
        <f>VLOOKUP($A153,'Orginal data'!$A$2:$H$152,4,FALSE)</f>
        <v>India</v>
      </c>
      <c r="E153" s="54">
        <f>VLOOKUP($A153,'Orginal data'!$A$2:$H$152,5,FALSE)</f>
        <v>98475</v>
      </c>
      <c r="F153" s="149">
        <f>VLOOKUP($A153,'Orginal data'!$A$2:$H$152,6,FALSE)</f>
        <v>43051</v>
      </c>
      <c r="G153" s="56">
        <f>VLOOKUP($A153,'Orginal data'!$A$2:$H$152,7,FALSE)</f>
        <v>5</v>
      </c>
      <c r="H153" s="148" t="str">
        <f>VLOOKUP($A153,'Orginal data'!$A$2:$H$152,8,FALSE)</f>
        <v>Other</v>
      </c>
    </row>
  </sheetData>
  <mergeCells count="1">
    <mergeCell ref="A1:J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9B10EE-E234-404C-BA88-2D45177CB9F0}">
  <dimension ref="A1:P152"/>
  <sheetViews>
    <sheetView topLeftCell="A130" workbookViewId="0">
      <selection activeCell="A2" sqref="A2:H152"/>
    </sheetView>
  </sheetViews>
  <sheetFormatPr defaultRowHeight="14.4"/>
  <cols>
    <col min="1" max="1" width="11.21875" customWidth="1"/>
    <col min="2" max="2" width="12" customWidth="1"/>
    <col min="3" max="3" width="13.6640625" customWidth="1"/>
    <col min="4" max="4" width="11" customWidth="1"/>
    <col min="5" max="5" width="12.5546875" customWidth="1"/>
    <col min="6" max="6" width="13.6640625" customWidth="1"/>
    <col min="7" max="7" width="11.88671875" customWidth="1"/>
    <col min="8" max="8" width="14.77734375" customWidth="1"/>
    <col min="12" max="12" width="11.77734375" customWidth="1"/>
    <col min="14" max="14" width="11" customWidth="1"/>
    <col min="15" max="15" width="10.44140625" customWidth="1"/>
  </cols>
  <sheetData>
    <row r="1" spans="1:16" ht="21">
      <c r="A1" s="175" t="s">
        <v>371</v>
      </c>
      <c r="B1" s="175"/>
      <c r="C1" s="175"/>
      <c r="D1" s="175"/>
      <c r="E1" s="175"/>
      <c r="F1" s="175"/>
      <c r="G1" s="175"/>
      <c r="H1" s="175"/>
      <c r="I1" s="175"/>
      <c r="J1" s="175"/>
      <c r="K1" s="175"/>
      <c r="L1" s="175"/>
      <c r="M1" s="175"/>
      <c r="N1" s="175"/>
      <c r="O1" s="175"/>
      <c r="P1" s="175"/>
    </row>
    <row r="2" spans="1:16">
      <c r="A2" s="143" t="s">
        <v>0</v>
      </c>
      <c r="B2" s="144" t="s">
        <v>1</v>
      </c>
      <c r="C2" s="144" t="s">
        <v>2</v>
      </c>
      <c r="D2" s="144" t="s">
        <v>3</v>
      </c>
      <c r="E2" s="145" t="s">
        <v>4</v>
      </c>
      <c r="F2" s="146" t="s">
        <v>5</v>
      </c>
      <c r="G2" s="147" t="s">
        <v>6</v>
      </c>
      <c r="H2" s="144" t="s">
        <v>7</v>
      </c>
      <c r="L2" s="161" t="s">
        <v>372</v>
      </c>
    </row>
    <row r="3" spans="1:16">
      <c r="A3" s="52" t="s">
        <v>9</v>
      </c>
      <c r="B3" s="53" t="s">
        <v>12</v>
      </c>
      <c r="C3" s="53" t="s">
        <v>10</v>
      </c>
      <c r="D3" s="53" t="s">
        <v>12</v>
      </c>
      <c r="E3" s="54">
        <v>66280.929577464791</v>
      </c>
      <c r="F3" s="55" t="s">
        <v>12</v>
      </c>
      <c r="G3" s="56">
        <v>2</v>
      </c>
      <c r="H3" s="57" t="s">
        <v>12</v>
      </c>
      <c r="L3" s="160" cm="1">
        <f t="array" ref="L3:L152">MATCH($D$3:$D$152,$D$3:$D$152,0)</f>
        <v>1</v>
      </c>
    </row>
    <row r="4" spans="1:16">
      <c r="A4" s="52" t="s">
        <v>14</v>
      </c>
      <c r="B4" s="53" t="s">
        <v>15</v>
      </c>
      <c r="C4" s="53" t="s">
        <v>16</v>
      </c>
      <c r="D4" s="53" t="s">
        <v>17</v>
      </c>
      <c r="E4" s="54">
        <v>54255</v>
      </c>
      <c r="F4" s="55">
        <v>42015</v>
      </c>
      <c r="G4" s="56">
        <v>1</v>
      </c>
      <c r="H4" s="57" t="s">
        <v>18</v>
      </c>
      <c r="L4" s="160">
        <v>2</v>
      </c>
    </row>
    <row r="5" spans="1:16">
      <c r="A5" s="52" t="s">
        <v>20</v>
      </c>
      <c r="B5" s="53" t="s">
        <v>21</v>
      </c>
      <c r="C5" s="53" t="s">
        <v>10</v>
      </c>
      <c r="D5" s="53" t="s">
        <v>17</v>
      </c>
      <c r="E5" s="54">
        <v>63184</v>
      </c>
      <c r="F5" s="55">
        <v>42022</v>
      </c>
      <c r="G5" s="56">
        <v>2</v>
      </c>
      <c r="H5" s="57" t="s">
        <v>12</v>
      </c>
      <c r="L5" s="160">
        <v>2</v>
      </c>
      <c r="N5" s="163" t="s">
        <v>373</v>
      </c>
      <c r="O5" s="162">
        <f>MODE(_xlfn.ANCHORARRAY(L3))</f>
        <v>1</v>
      </c>
    </row>
    <row r="6" spans="1:16">
      <c r="A6" s="52" t="s">
        <v>23</v>
      </c>
      <c r="B6" s="53" t="s">
        <v>24</v>
      </c>
      <c r="C6" s="53" t="s">
        <v>25</v>
      </c>
      <c r="D6" s="53" t="s">
        <v>26</v>
      </c>
      <c r="E6" s="54">
        <v>94406</v>
      </c>
      <c r="F6" s="55">
        <v>42029</v>
      </c>
      <c r="G6" s="56">
        <v>1</v>
      </c>
      <c r="H6" s="57" t="s">
        <v>27</v>
      </c>
      <c r="L6" s="160">
        <v>4</v>
      </c>
      <c r="N6" s="163" t="s">
        <v>374</v>
      </c>
      <c r="O6" s="162" t="str" cm="1">
        <f t="array" ref="O6">INDEX(D3:D152,O5)</f>
        <v>Unknown</v>
      </c>
    </row>
    <row r="7" spans="1:16">
      <c r="A7" s="52" t="s">
        <v>29</v>
      </c>
      <c r="B7" s="53" t="s">
        <v>30</v>
      </c>
      <c r="C7" s="53" t="s">
        <v>25</v>
      </c>
      <c r="D7" s="53" t="s">
        <v>17</v>
      </c>
      <c r="E7" s="54">
        <v>64120</v>
      </c>
      <c r="F7" s="55">
        <v>42036</v>
      </c>
      <c r="G7" s="56">
        <v>1</v>
      </c>
      <c r="H7" s="57" t="s">
        <v>27</v>
      </c>
      <c r="L7" s="160">
        <v>2</v>
      </c>
    </row>
    <row r="8" spans="1:16">
      <c r="A8" s="52" t="s">
        <v>32</v>
      </c>
      <c r="B8" s="53" t="s">
        <v>21</v>
      </c>
      <c r="C8" s="53" t="s">
        <v>33</v>
      </c>
      <c r="D8" s="53" t="s">
        <v>34</v>
      </c>
      <c r="E8" s="54">
        <v>78421</v>
      </c>
      <c r="F8" s="55">
        <v>42043</v>
      </c>
      <c r="G8" s="56">
        <v>2</v>
      </c>
      <c r="H8" s="57" t="s">
        <v>35</v>
      </c>
      <c r="L8" s="160">
        <v>6</v>
      </c>
    </row>
    <row r="9" spans="1:16">
      <c r="A9" s="52" t="s">
        <v>37</v>
      </c>
      <c r="B9" s="53" t="s">
        <v>38</v>
      </c>
      <c r="C9" s="53" t="s">
        <v>25</v>
      </c>
      <c r="D9" s="53" t="s">
        <v>12</v>
      </c>
      <c r="E9" s="54">
        <v>67721</v>
      </c>
      <c r="F9" s="55">
        <v>42050</v>
      </c>
      <c r="G9" s="56">
        <v>2.9411764705882355</v>
      </c>
      <c r="H9" s="57" t="s">
        <v>27</v>
      </c>
      <c r="L9" s="160">
        <v>1</v>
      </c>
    </row>
    <row r="10" spans="1:16">
      <c r="A10" s="52" t="s">
        <v>39</v>
      </c>
      <c r="B10" s="53" t="s">
        <v>40</v>
      </c>
      <c r="C10" s="67" t="s">
        <v>41</v>
      </c>
      <c r="D10" s="53" t="s">
        <v>12</v>
      </c>
      <c r="E10" s="54">
        <v>35364</v>
      </c>
      <c r="F10" s="55">
        <v>42057</v>
      </c>
      <c r="G10" s="56">
        <v>2</v>
      </c>
      <c r="H10" s="57" t="s">
        <v>18</v>
      </c>
      <c r="L10" s="160">
        <v>1</v>
      </c>
    </row>
    <row r="11" spans="1:16">
      <c r="A11" s="52" t="s">
        <v>43</v>
      </c>
      <c r="B11" s="53" t="s">
        <v>21</v>
      </c>
      <c r="C11" s="53" t="s">
        <v>33</v>
      </c>
      <c r="D11" s="53" t="s">
        <v>17</v>
      </c>
      <c r="E11" s="54">
        <v>97881</v>
      </c>
      <c r="F11" s="55">
        <v>42064</v>
      </c>
      <c r="G11" s="56">
        <v>2.9491525423728815</v>
      </c>
      <c r="H11" s="57" t="s">
        <v>35</v>
      </c>
      <c r="L11" s="160">
        <v>2</v>
      </c>
    </row>
    <row r="12" spans="1:16">
      <c r="A12" s="52" t="s">
        <v>45</v>
      </c>
      <c r="B12" s="53" t="s">
        <v>40</v>
      </c>
      <c r="C12" s="53" t="s">
        <v>16</v>
      </c>
      <c r="D12" s="53" t="s">
        <v>46</v>
      </c>
      <c r="E12" s="54">
        <v>91846</v>
      </c>
      <c r="F12" s="55">
        <v>42071</v>
      </c>
      <c r="G12" s="56">
        <v>2.9491525423728815</v>
      </c>
      <c r="H12" s="57" t="s">
        <v>27</v>
      </c>
      <c r="L12" s="160">
        <v>10</v>
      </c>
    </row>
    <row r="13" spans="1:16">
      <c r="A13" s="52" t="s">
        <v>48</v>
      </c>
      <c r="B13" s="53" t="s">
        <v>38</v>
      </c>
      <c r="C13" s="53" t="s">
        <v>10</v>
      </c>
      <c r="D13" s="53" t="s">
        <v>46</v>
      </c>
      <c r="E13" s="54">
        <v>64247</v>
      </c>
      <c r="F13" s="55">
        <v>42078</v>
      </c>
      <c r="G13" s="56">
        <v>1</v>
      </c>
      <c r="H13" s="57" t="s">
        <v>35</v>
      </c>
      <c r="L13" s="160">
        <v>10</v>
      </c>
    </row>
    <row r="14" spans="1:16">
      <c r="A14" s="52" t="s">
        <v>50</v>
      </c>
      <c r="B14" s="53" t="s">
        <v>38</v>
      </c>
      <c r="C14" s="53" t="s">
        <v>33</v>
      </c>
      <c r="D14" s="53" t="s">
        <v>26</v>
      </c>
      <c r="E14" s="54">
        <v>91180</v>
      </c>
      <c r="F14" s="55">
        <v>42085</v>
      </c>
      <c r="G14" s="56">
        <v>5</v>
      </c>
      <c r="H14" s="57" t="s">
        <v>27</v>
      </c>
      <c r="L14" s="160">
        <v>4</v>
      </c>
    </row>
    <row r="15" spans="1:16">
      <c r="A15" s="52" t="s">
        <v>52</v>
      </c>
      <c r="B15" s="53" t="s">
        <v>53</v>
      </c>
      <c r="C15" s="53" t="s">
        <v>25</v>
      </c>
      <c r="D15" s="53" t="s">
        <v>12</v>
      </c>
      <c r="E15" s="54">
        <v>96418</v>
      </c>
      <c r="F15" s="55">
        <v>42092</v>
      </c>
      <c r="G15" s="56">
        <v>5</v>
      </c>
      <c r="H15" s="57" t="s">
        <v>27</v>
      </c>
      <c r="L15" s="160">
        <v>1</v>
      </c>
    </row>
    <row r="16" spans="1:16">
      <c r="A16" s="52" t="s">
        <v>54</v>
      </c>
      <c r="B16" s="67" t="s">
        <v>38</v>
      </c>
      <c r="C16" s="53" t="s">
        <v>12</v>
      </c>
      <c r="D16" s="53" t="s">
        <v>34</v>
      </c>
      <c r="E16" s="54">
        <v>62158</v>
      </c>
      <c r="F16" s="55">
        <v>42099</v>
      </c>
      <c r="G16" s="56">
        <v>4</v>
      </c>
      <c r="H16" s="57" t="s">
        <v>12</v>
      </c>
      <c r="L16" s="160">
        <v>6</v>
      </c>
    </row>
    <row r="17" spans="1:12">
      <c r="A17" s="52" t="s">
        <v>56</v>
      </c>
      <c r="B17" s="53" t="s">
        <v>30</v>
      </c>
      <c r="C17" s="53" t="s">
        <v>16</v>
      </c>
      <c r="D17" s="53" t="s">
        <v>12</v>
      </c>
      <c r="E17" s="54">
        <v>59894</v>
      </c>
      <c r="F17" s="55">
        <v>42106</v>
      </c>
      <c r="G17" s="56">
        <v>2</v>
      </c>
      <c r="H17" s="57" t="s">
        <v>27</v>
      </c>
      <c r="L17" s="160">
        <v>1</v>
      </c>
    </row>
    <row r="18" spans="1:12">
      <c r="A18" s="52" t="s">
        <v>58</v>
      </c>
      <c r="B18" s="53" t="s">
        <v>12</v>
      </c>
      <c r="C18" s="53" t="s">
        <v>33</v>
      </c>
      <c r="D18" s="53" t="s">
        <v>34</v>
      </c>
      <c r="E18" s="54">
        <v>92443</v>
      </c>
      <c r="F18" s="55">
        <v>42113</v>
      </c>
      <c r="G18" s="56">
        <v>3</v>
      </c>
      <c r="H18" s="57" t="s">
        <v>18</v>
      </c>
      <c r="L18" s="160">
        <v>6</v>
      </c>
    </row>
    <row r="19" spans="1:12">
      <c r="A19" s="52" t="s">
        <v>60</v>
      </c>
      <c r="B19" s="67" t="s">
        <v>53</v>
      </c>
      <c r="C19" s="53" t="s">
        <v>12</v>
      </c>
      <c r="D19" s="53" t="s">
        <v>17</v>
      </c>
      <c r="E19" s="54">
        <v>90271</v>
      </c>
      <c r="F19" s="55">
        <v>42120</v>
      </c>
      <c r="G19" s="56">
        <v>2.9285714285714284</v>
      </c>
      <c r="H19" s="57" t="s">
        <v>12</v>
      </c>
      <c r="L19" s="160">
        <v>2</v>
      </c>
    </row>
    <row r="20" spans="1:12">
      <c r="A20" s="52" t="s">
        <v>62</v>
      </c>
      <c r="B20" s="53" t="s">
        <v>30</v>
      </c>
      <c r="C20" s="53" t="s">
        <v>10</v>
      </c>
      <c r="D20" s="53" t="s">
        <v>63</v>
      </c>
      <c r="E20" s="54">
        <v>41341</v>
      </c>
      <c r="F20" s="55">
        <v>42127</v>
      </c>
      <c r="G20" s="56">
        <v>1</v>
      </c>
      <c r="H20" s="57" t="s">
        <v>18</v>
      </c>
      <c r="L20" s="160">
        <v>18</v>
      </c>
    </row>
    <row r="21" spans="1:12">
      <c r="A21" s="52" t="s">
        <v>65</v>
      </c>
      <c r="B21" s="53" t="s">
        <v>21</v>
      </c>
      <c r="C21" s="53" t="s">
        <v>10</v>
      </c>
      <c r="D21" s="53" t="s">
        <v>46</v>
      </c>
      <c r="E21" s="54">
        <v>73602</v>
      </c>
      <c r="F21" s="55">
        <v>42134</v>
      </c>
      <c r="G21" s="56">
        <v>2.9459459459459461</v>
      </c>
      <c r="H21" s="57" t="s">
        <v>12</v>
      </c>
      <c r="L21" s="160">
        <v>10</v>
      </c>
    </row>
    <row r="22" spans="1:12">
      <c r="A22" s="52" t="s">
        <v>67</v>
      </c>
      <c r="B22" s="67" t="s">
        <v>15</v>
      </c>
      <c r="C22" s="53" t="s">
        <v>12</v>
      </c>
      <c r="D22" s="53" t="s">
        <v>34</v>
      </c>
      <c r="E22" s="54">
        <v>67531</v>
      </c>
      <c r="F22" s="55">
        <v>42141</v>
      </c>
      <c r="G22" s="56">
        <v>5</v>
      </c>
      <c r="H22" s="57" t="s">
        <v>35</v>
      </c>
      <c r="L22" s="160">
        <v>6</v>
      </c>
    </row>
    <row r="23" spans="1:12">
      <c r="A23" s="52" t="s">
        <v>69</v>
      </c>
      <c r="B23" s="53" t="s">
        <v>30</v>
      </c>
      <c r="C23" s="53" t="s">
        <v>16</v>
      </c>
      <c r="D23" s="53" t="s">
        <v>26</v>
      </c>
      <c r="E23" s="54">
        <v>65248.853658536587</v>
      </c>
      <c r="F23" s="55">
        <v>42148</v>
      </c>
      <c r="G23" s="56">
        <v>2</v>
      </c>
      <c r="H23" s="57" t="s">
        <v>18</v>
      </c>
      <c r="L23" s="160">
        <v>4</v>
      </c>
    </row>
    <row r="24" spans="1:12">
      <c r="A24" s="52" t="s">
        <v>71</v>
      </c>
      <c r="B24" s="53" t="s">
        <v>30</v>
      </c>
      <c r="C24" s="53" t="s">
        <v>16</v>
      </c>
      <c r="D24" s="53" t="s">
        <v>12</v>
      </c>
      <c r="E24" s="54">
        <v>98922</v>
      </c>
      <c r="F24" s="55">
        <v>42155</v>
      </c>
      <c r="G24" s="56">
        <v>4</v>
      </c>
      <c r="H24" s="57" t="s">
        <v>12</v>
      </c>
      <c r="L24" s="160">
        <v>1</v>
      </c>
    </row>
    <row r="25" spans="1:12">
      <c r="A25" s="52" t="s">
        <v>73</v>
      </c>
      <c r="B25" s="53" t="s">
        <v>15</v>
      </c>
      <c r="C25" s="53" t="s">
        <v>10</v>
      </c>
      <c r="D25" s="53" t="s">
        <v>34</v>
      </c>
      <c r="E25" s="54">
        <v>38333</v>
      </c>
      <c r="F25" s="55">
        <v>42162</v>
      </c>
      <c r="G25" s="56">
        <v>5</v>
      </c>
      <c r="H25" s="57" t="s">
        <v>12</v>
      </c>
      <c r="L25" s="160">
        <v>6</v>
      </c>
    </row>
    <row r="26" spans="1:12">
      <c r="A26" s="52" t="s">
        <v>75</v>
      </c>
      <c r="B26" s="53" t="s">
        <v>21</v>
      </c>
      <c r="C26" s="53" t="s">
        <v>41</v>
      </c>
      <c r="D26" s="53" t="s">
        <v>46</v>
      </c>
      <c r="E26" s="54">
        <v>36515</v>
      </c>
      <c r="F26" s="55">
        <v>42169</v>
      </c>
      <c r="G26" s="56">
        <v>3</v>
      </c>
      <c r="H26" s="57" t="s">
        <v>27</v>
      </c>
      <c r="L26" s="160">
        <v>10</v>
      </c>
    </row>
    <row r="27" spans="1:12">
      <c r="A27" s="52" t="s">
        <v>77</v>
      </c>
      <c r="B27" s="53" t="s">
        <v>38</v>
      </c>
      <c r="C27" s="53" t="s">
        <v>10</v>
      </c>
      <c r="D27" s="53" t="s">
        <v>12</v>
      </c>
      <c r="E27" s="54">
        <v>91005</v>
      </c>
      <c r="F27" s="55">
        <v>42176</v>
      </c>
      <c r="G27" s="56">
        <v>1</v>
      </c>
      <c r="H27" s="57" t="s">
        <v>18</v>
      </c>
      <c r="L27" s="160">
        <v>1</v>
      </c>
    </row>
    <row r="28" spans="1:12">
      <c r="A28" s="52" t="s">
        <v>79</v>
      </c>
      <c r="B28" s="53" t="s">
        <v>40</v>
      </c>
      <c r="C28" s="53" t="s">
        <v>12</v>
      </c>
      <c r="D28" s="53" t="s">
        <v>12</v>
      </c>
      <c r="E28" s="54">
        <v>52272</v>
      </c>
      <c r="F28" s="55">
        <v>42183</v>
      </c>
      <c r="G28" s="56">
        <v>3</v>
      </c>
      <c r="H28" s="57" t="s">
        <v>12</v>
      </c>
      <c r="L28" s="160">
        <v>1</v>
      </c>
    </row>
    <row r="29" spans="1:12">
      <c r="A29" s="52" t="s">
        <v>81</v>
      </c>
      <c r="B29" s="53" t="s">
        <v>15</v>
      </c>
      <c r="C29" s="53" t="s">
        <v>25</v>
      </c>
      <c r="D29" s="53" t="s">
        <v>17</v>
      </c>
      <c r="E29" s="54">
        <v>76518</v>
      </c>
      <c r="F29" s="55">
        <v>42190</v>
      </c>
      <c r="G29" s="56">
        <v>2</v>
      </c>
      <c r="H29" s="57" t="s">
        <v>35</v>
      </c>
      <c r="L29" s="160">
        <v>2</v>
      </c>
    </row>
    <row r="30" spans="1:12">
      <c r="A30" s="52" t="s">
        <v>83</v>
      </c>
      <c r="B30" s="53" t="s">
        <v>21</v>
      </c>
      <c r="C30" s="53" t="s">
        <v>33</v>
      </c>
      <c r="D30" s="53" t="s">
        <v>46</v>
      </c>
      <c r="E30" s="54">
        <v>41448</v>
      </c>
      <c r="F30" s="55">
        <v>42197</v>
      </c>
      <c r="G30" s="56">
        <v>3</v>
      </c>
      <c r="H30" s="57" t="s">
        <v>18</v>
      </c>
      <c r="L30" s="160">
        <v>10</v>
      </c>
    </row>
    <row r="31" spans="1:12">
      <c r="A31" s="52" t="s">
        <v>85</v>
      </c>
      <c r="B31" s="53" t="s">
        <v>24</v>
      </c>
      <c r="C31" s="53" t="s">
        <v>16</v>
      </c>
      <c r="D31" s="53" t="s">
        <v>46</v>
      </c>
      <c r="E31" s="54">
        <v>49282</v>
      </c>
      <c r="F31" s="55">
        <v>42204</v>
      </c>
      <c r="G31" s="56">
        <v>2</v>
      </c>
      <c r="H31" s="57" t="s">
        <v>35</v>
      </c>
      <c r="L31" s="160">
        <v>10</v>
      </c>
    </row>
    <row r="32" spans="1:12">
      <c r="A32" s="52" t="s">
        <v>87</v>
      </c>
      <c r="B32" s="53" t="s">
        <v>53</v>
      </c>
      <c r="C32" s="53" t="s">
        <v>41</v>
      </c>
      <c r="D32" s="53" t="s">
        <v>46</v>
      </c>
      <c r="E32" s="54">
        <v>92959</v>
      </c>
      <c r="F32" s="55">
        <v>42211</v>
      </c>
      <c r="G32" s="56">
        <v>5</v>
      </c>
      <c r="H32" s="57" t="s">
        <v>12</v>
      </c>
      <c r="L32" s="160">
        <v>10</v>
      </c>
    </row>
    <row r="33" spans="1:12">
      <c r="A33" s="52" t="s">
        <v>89</v>
      </c>
      <c r="B33" s="53" t="s">
        <v>12</v>
      </c>
      <c r="C33" s="67" t="s">
        <v>41</v>
      </c>
      <c r="D33" s="53" t="s">
        <v>12</v>
      </c>
      <c r="E33" s="54">
        <v>92259</v>
      </c>
      <c r="F33" s="55" t="s">
        <v>12</v>
      </c>
      <c r="G33" s="56">
        <v>1</v>
      </c>
      <c r="H33" s="57" t="s">
        <v>12</v>
      </c>
      <c r="L33" s="160">
        <v>1</v>
      </c>
    </row>
    <row r="34" spans="1:12">
      <c r="A34" s="52" t="s">
        <v>91</v>
      </c>
      <c r="B34" s="53" t="s">
        <v>15</v>
      </c>
      <c r="C34" s="53" t="s">
        <v>16</v>
      </c>
      <c r="D34" s="53" t="s">
        <v>17</v>
      </c>
      <c r="E34" s="54">
        <v>92299</v>
      </c>
      <c r="F34" s="55">
        <v>42225</v>
      </c>
      <c r="G34" s="56">
        <v>3</v>
      </c>
      <c r="H34" s="57" t="s">
        <v>27</v>
      </c>
      <c r="L34" s="160">
        <v>2</v>
      </c>
    </row>
    <row r="35" spans="1:12">
      <c r="A35" s="52" t="s">
        <v>93</v>
      </c>
      <c r="B35" s="53" t="s">
        <v>38</v>
      </c>
      <c r="C35" s="53" t="s">
        <v>16</v>
      </c>
      <c r="D35" s="53" t="s">
        <v>12</v>
      </c>
      <c r="E35" s="54">
        <v>95586</v>
      </c>
      <c r="F35" s="55">
        <v>42232</v>
      </c>
      <c r="G35" s="56">
        <v>3</v>
      </c>
      <c r="H35" s="57" t="s">
        <v>18</v>
      </c>
      <c r="L35" s="160">
        <v>1</v>
      </c>
    </row>
    <row r="36" spans="1:12">
      <c r="A36" s="52" t="s">
        <v>95</v>
      </c>
      <c r="B36" s="53" t="s">
        <v>40</v>
      </c>
      <c r="C36" s="53" t="s">
        <v>12</v>
      </c>
      <c r="D36" s="53" t="s">
        <v>26</v>
      </c>
      <c r="E36" s="54">
        <v>95367</v>
      </c>
      <c r="F36" s="55">
        <v>42239</v>
      </c>
      <c r="G36" s="56">
        <v>2.9381443298969074</v>
      </c>
      <c r="H36" s="57" t="s">
        <v>27</v>
      </c>
      <c r="L36" s="160">
        <v>4</v>
      </c>
    </row>
    <row r="37" spans="1:12">
      <c r="A37" s="52" t="s">
        <v>97</v>
      </c>
      <c r="B37" s="53" t="s">
        <v>24</v>
      </c>
      <c r="C37" s="53" t="s">
        <v>25</v>
      </c>
      <c r="D37" s="53" t="s">
        <v>63</v>
      </c>
      <c r="E37" s="54">
        <v>79549</v>
      </c>
      <c r="F37" s="55">
        <v>42246</v>
      </c>
      <c r="G37" s="56">
        <v>3</v>
      </c>
      <c r="H37" s="57" t="s">
        <v>12</v>
      </c>
      <c r="L37" s="160">
        <v>18</v>
      </c>
    </row>
    <row r="38" spans="1:12">
      <c r="A38" s="52" t="s">
        <v>99</v>
      </c>
      <c r="B38" s="67" t="s">
        <v>21</v>
      </c>
      <c r="C38" s="53" t="s">
        <v>12</v>
      </c>
      <c r="D38" s="53" t="s">
        <v>46</v>
      </c>
      <c r="E38" s="54">
        <v>54463</v>
      </c>
      <c r="F38" s="55">
        <v>42253</v>
      </c>
      <c r="G38" s="56">
        <v>4</v>
      </c>
      <c r="H38" s="57" t="s">
        <v>27</v>
      </c>
      <c r="L38" s="160">
        <v>10</v>
      </c>
    </row>
    <row r="39" spans="1:12">
      <c r="A39" s="52" t="s">
        <v>100</v>
      </c>
      <c r="B39" s="53" t="s">
        <v>21</v>
      </c>
      <c r="C39" s="53" t="s">
        <v>33</v>
      </c>
      <c r="D39" s="53" t="s">
        <v>26</v>
      </c>
      <c r="E39" s="54">
        <v>89781</v>
      </c>
      <c r="F39" s="55">
        <v>42260</v>
      </c>
      <c r="G39" s="56">
        <v>2.9263157894736844</v>
      </c>
      <c r="H39" s="57" t="s">
        <v>35</v>
      </c>
      <c r="L39" s="160">
        <v>4</v>
      </c>
    </row>
    <row r="40" spans="1:12">
      <c r="A40" s="52" t="s">
        <v>102</v>
      </c>
      <c r="B40" s="53" t="s">
        <v>21</v>
      </c>
      <c r="C40" s="53" t="s">
        <v>16</v>
      </c>
      <c r="D40" s="53" t="s">
        <v>12</v>
      </c>
      <c r="E40" s="54">
        <v>64796</v>
      </c>
      <c r="F40" s="55">
        <v>42267</v>
      </c>
      <c r="G40" s="56">
        <v>2.9263157894736844</v>
      </c>
      <c r="H40" s="57" t="s">
        <v>18</v>
      </c>
      <c r="L40" s="160">
        <v>1</v>
      </c>
    </row>
    <row r="41" spans="1:12">
      <c r="A41" s="52" t="s">
        <v>104</v>
      </c>
      <c r="B41" s="53" t="s">
        <v>24</v>
      </c>
      <c r="C41" s="53" t="s">
        <v>41</v>
      </c>
      <c r="D41" s="53" t="s">
        <v>46</v>
      </c>
      <c r="E41" s="54">
        <v>52093</v>
      </c>
      <c r="F41" s="55">
        <v>42274</v>
      </c>
      <c r="G41" s="56">
        <v>5</v>
      </c>
      <c r="H41" s="57" t="s">
        <v>12</v>
      </c>
      <c r="L41" s="160">
        <v>10</v>
      </c>
    </row>
    <row r="42" spans="1:12">
      <c r="A42" s="52" t="s">
        <v>106</v>
      </c>
      <c r="B42" s="53" t="s">
        <v>40</v>
      </c>
      <c r="C42" s="53" t="s">
        <v>16</v>
      </c>
      <c r="D42" s="53" t="s">
        <v>46</v>
      </c>
      <c r="E42" s="54">
        <v>48224</v>
      </c>
      <c r="F42" s="55">
        <v>42281</v>
      </c>
      <c r="G42" s="56">
        <v>3</v>
      </c>
      <c r="H42" s="57" t="s">
        <v>12</v>
      </c>
      <c r="L42" s="160">
        <v>10</v>
      </c>
    </row>
    <row r="43" spans="1:12">
      <c r="A43" s="52" t="s">
        <v>108</v>
      </c>
      <c r="B43" s="53" t="s">
        <v>53</v>
      </c>
      <c r="C43" s="53" t="s">
        <v>10</v>
      </c>
      <c r="D43" s="53" t="s">
        <v>46</v>
      </c>
      <c r="E43" s="54">
        <v>64268.634615384617</v>
      </c>
      <c r="F43" s="55" t="s">
        <v>12</v>
      </c>
      <c r="G43" s="56">
        <v>4</v>
      </c>
      <c r="H43" s="57" t="s">
        <v>35</v>
      </c>
      <c r="L43" s="160">
        <v>10</v>
      </c>
    </row>
    <row r="44" spans="1:12">
      <c r="A44" s="52" t="s">
        <v>110</v>
      </c>
      <c r="B44" s="53" t="s">
        <v>21</v>
      </c>
      <c r="C44" s="53" t="s">
        <v>33</v>
      </c>
      <c r="D44" s="53" t="s">
        <v>17</v>
      </c>
      <c r="E44" s="54">
        <v>33956</v>
      </c>
      <c r="F44" s="55">
        <v>42295</v>
      </c>
      <c r="G44" s="56">
        <v>2.8913043478260869</v>
      </c>
      <c r="H44" s="57" t="s">
        <v>12</v>
      </c>
      <c r="L44" s="160">
        <v>2</v>
      </c>
    </row>
    <row r="45" spans="1:12">
      <c r="A45" s="52" t="s">
        <v>112</v>
      </c>
      <c r="B45" s="67" t="s">
        <v>53</v>
      </c>
      <c r="C45" s="53" t="s">
        <v>12</v>
      </c>
      <c r="D45" s="53" t="s">
        <v>63</v>
      </c>
      <c r="E45" s="54">
        <v>64913</v>
      </c>
      <c r="F45" s="55">
        <v>42302</v>
      </c>
      <c r="G45" s="56">
        <v>1</v>
      </c>
      <c r="H45" s="57" t="s">
        <v>35</v>
      </c>
      <c r="L45" s="160">
        <v>18</v>
      </c>
    </row>
    <row r="46" spans="1:12">
      <c r="A46" s="52" t="s">
        <v>114</v>
      </c>
      <c r="B46" s="53" t="s">
        <v>21</v>
      </c>
      <c r="C46" s="53" t="s">
        <v>41</v>
      </c>
      <c r="D46" s="53" t="s">
        <v>63</v>
      </c>
      <c r="E46" s="54">
        <v>35326</v>
      </c>
      <c r="F46" s="55">
        <v>42309</v>
      </c>
      <c r="G46" s="56">
        <v>2.912087912087912</v>
      </c>
      <c r="H46" s="57" t="s">
        <v>35</v>
      </c>
      <c r="L46" s="160">
        <v>18</v>
      </c>
    </row>
    <row r="47" spans="1:12">
      <c r="A47" s="52" t="s">
        <v>116</v>
      </c>
      <c r="B47" s="53" t="s">
        <v>40</v>
      </c>
      <c r="C47" s="53" t="s">
        <v>10</v>
      </c>
      <c r="D47" s="53" t="s">
        <v>12</v>
      </c>
      <c r="E47" s="54">
        <v>81610</v>
      </c>
      <c r="F47" s="55">
        <v>42316</v>
      </c>
      <c r="G47" s="56">
        <v>1</v>
      </c>
      <c r="H47" s="57" t="s">
        <v>12</v>
      </c>
      <c r="L47" s="160">
        <v>1</v>
      </c>
    </row>
    <row r="48" spans="1:12">
      <c r="A48" s="52" t="s">
        <v>118</v>
      </c>
      <c r="B48" s="53" t="s">
        <v>12</v>
      </c>
      <c r="C48" s="53" t="s">
        <v>16</v>
      </c>
      <c r="D48" s="53" t="s">
        <v>12</v>
      </c>
      <c r="E48" s="54">
        <v>58962</v>
      </c>
      <c r="F48" s="55">
        <v>42323</v>
      </c>
      <c r="G48" s="56">
        <v>3</v>
      </c>
      <c r="H48" s="57" t="s">
        <v>18</v>
      </c>
      <c r="L48" s="160">
        <v>1</v>
      </c>
    </row>
    <row r="49" spans="1:12">
      <c r="A49" s="52" t="s">
        <v>119</v>
      </c>
      <c r="B49" s="53" t="s">
        <v>40</v>
      </c>
      <c r="C49" s="53" t="s">
        <v>33</v>
      </c>
      <c r="D49" s="53" t="s">
        <v>17</v>
      </c>
      <c r="E49" s="54">
        <v>92701</v>
      </c>
      <c r="F49" s="55">
        <v>42330</v>
      </c>
      <c r="G49" s="56">
        <v>3</v>
      </c>
      <c r="H49" s="57" t="s">
        <v>18</v>
      </c>
      <c r="L49" s="160">
        <v>2</v>
      </c>
    </row>
    <row r="50" spans="1:12">
      <c r="A50" s="52" t="s">
        <v>121</v>
      </c>
      <c r="B50" s="53" t="s">
        <v>40</v>
      </c>
      <c r="C50" s="53" t="s">
        <v>16</v>
      </c>
      <c r="D50" s="53" t="s">
        <v>34</v>
      </c>
      <c r="E50" s="54">
        <v>58245</v>
      </c>
      <c r="F50" s="55">
        <v>42337</v>
      </c>
      <c r="G50" s="56">
        <v>4</v>
      </c>
      <c r="H50" s="57" t="s">
        <v>12</v>
      </c>
      <c r="L50" s="160">
        <v>6</v>
      </c>
    </row>
    <row r="51" spans="1:12">
      <c r="A51" s="52" t="s">
        <v>123</v>
      </c>
      <c r="B51" s="53" t="s">
        <v>24</v>
      </c>
      <c r="C51" s="53" t="s">
        <v>10</v>
      </c>
      <c r="D51" s="53" t="s">
        <v>12</v>
      </c>
      <c r="E51" s="54">
        <v>66513</v>
      </c>
      <c r="F51" s="55">
        <v>42344</v>
      </c>
      <c r="G51" s="56">
        <v>2</v>
      </c>
      <c r="H51" s="57" t="s">
        <v>18</v>
      </c>
      <c r="L51" s="160">
        <v>1</v>
      </c>
    </row>
    <row r="52" spans="1:12">
      <c r="A52" s="52" t="s">
        <v>124</v>
      </c>
      <c r="B52" s="53" t="s">
        <v>15</v>
      </c>
      <c r="C52" s="53" t="s">
        <v>16</v>
      </c>
      <c r="D52" s="53" t="s">
        <v>17</v>
      </c>
      <c r="E52" s="54">
        <v>78720</v>
      </c>
      <c r="F52" s="55">
        <v>42351</v>
      </c>
      <c r="G52" s="56">
        <v>5</v>
      </c>
      <c r="H52" s="57" t="s">
        <v>35</v>
      </c>
      <c r="L52" s="160">
        <v>2</v>
      </c>
    </row>
    <row r="53" spans="1:12">
      <c r="A53" s="52" t="s">
        <v>125</v>
      </c>
      <c r="B53" s="53" t="s">
        <v>40</v>
      </c>
      <c r="C53" s="53" t="s">
        <v>12</v>
      </c>
      <c r="D53" s="53" t="s">
        <v>12</v>
      </c>
      <c r="E53" s="54">
        <v>30686</v>
      </c>
      <c r="F53" s="55" t="s">
        <v>12</v>
      </c>
      <c r="G53" s="56">
        <v>2</v>
      </c>
      <c r="H53" s="57" t="s">
        <v>35</v>
      </c>
      <c r="L53" s="160">
        <v>1</v>
      </c>
    </row>
    <row r="54" spans="1:12">
      <c r="A54" s="52" t="s">
        <v>127</v>
      </c>
      <c r="B54" s="53" t="s">
        <v>38</v>
      </c>
      <c r="C54" s="53" t="s">
        <v>25</v>
      </c>
      <c r="D54" s="53" t="s">
        <v>34</v>
      </c>
      <c r="E54" s="54">
        <v>39423</v>
      </c>
      <c r="F54" s="55">
        <v>42365</v>
      </c>
      <c r="G54" s="56">
        <v>5</v>
      </c>
      <c r="H54" s="57" t="s">
        <v>12</v>
      </c>
      <c r="L54" s="160">
        <v>6</v>
      </c>
    </row>
    <row r="55" spans="1:12">
      <c r="A55" s="52" t="s">
        <v>129</v>
      </c>
      <c r="B55" s="53" t="s">
        <v>15</v>
      </c>
      <c r="C55" s="67" t="s">
        <v>41</v>
      </c>
      <c r="D55" s="53" t="s">
        <v>12</v>
      </c>
      <c r="E55" s="54">
        <v>30280</v>
      </c>
      <c r="F55" s="55">
        <v>42372</v>
      </c>
      <c r="G55" s="56">
        <v>1</v>
      </c>
      <c r="H55" s="57" t="s">
        <v>12</v>
      </c>
      <c r="L55" s="160">
        <v>1</v>
      </c>
    </row>
    <row r="56" spans="1:12">
      <c r="A56" s="52" t="s">
        <v>131</v>
      </c>
      <c r="B56" s="53" t="s">
        <v>15</v>
      </c>
      <c r="C56" s="53" t="s">
        <v>10</v>
      </c>
      <c r="D56" s="53" t="s">
        <v>46</v>
      </c>
      <c r="E56" s="54">
        <v>33352</v>
      </c>
      <c r="F56" s="55">
        <v>42379</v>
      </c>
      <c r="G56" s="56">
        <v>3</v>
      </c>
      <c r="H56" s="57" t="s">
        <v>35</v>
      </c>
      <c r="L56" s="160">
        <v>10</v>
      </c>
    </row>
    <row r="57" spans="1:12">
      <c r="A57" s="52" t="s">
        <v>132</v>
      </c>
      <c r="B57" s="53" t="s">
        <v>53</v>
      </c>
      <c r="C57" s="53" t="s">
        <v>41</v>
      </c>
      <c r="D57" s="53" t="s">
        <v>46</v>
      </c>
      <c r="E57" s="54">
        <v>75633</v>
      </c>
      <c r="F57" s="55">
        <v>42386</v>
      </c>
      <c r="G57" s="56">
        <v>5</v>
      </c>
      <c r="H57" s="57" t="s">
        <v>18</v>
      </c>
      <c r="L57" s="160">
        <v>10</v>
      </c>
    </row>
    <row r="58" spans="1:12">
      <c r="A58" s="52" t="s">
        <v>134</v>
      </c>
      <c r="B58" s="53" t="s">
        <v>40</v>
      </c>
      <c r="C58" s="53" t="s">
        <v>12</v>
      </c>
      <c r="D58" s="53" t="s">
        <v>26</v>
      </c>
      <c r="E58" s="54">
        <v>74815</v>
      </c>
      <c r="F58" s="55">
        <v>42393</v>
      </c>
      <c r="G58" s="56">
        <v>5</v>
      </c>
      <c r="H58" s="57" t="s">
        <v>35</v>
      </c>
      <c r="L58" s="160">
        <v>4</v>
      </c>
    </row>
    <row r="59" spans="1:12">
      <c r="A59" s="52" t="s">
        <v>136</v>
      </c>
      <c r="B59" s="53" t="s">
        <v>24</v>
      </c>
      <c r="C59" s="53" t="s">
        <v>25</v>
      </c>
      <c r="D59" s="53" t="s">
        <v>63</v>
      </c>
      <c r="E59" s="54">
        <v>60011</v>
      </c>
      <c r="F59" s="55">
        <v>42400</v>
      </c>
      <c r="G59" s="56">
        <v>1</v>
      </c>
      <c r="H59" s="57" t="s">
        <v>27</v>
      </c>
      <c r="L59" s="160">
        <v>18</v>
      </c>
    </row>
    <row r="60" spans="1:12">
      <c r="A60" s="52" t="s">
        <v>138</v>
      </c>
      <c r="B60" s="67" t="s">
        <v>15</v>
      </c>
      <c r="C60" s="53" t="s">
        <v>12</v>
      </c>
      <c r="D60" s="53" t="s">
        <v>34</v>
      </c>
      <c r="E60" s="54">
        <v>96949</v>
      </c>
      <c r="F60" s="55">
        <v>42407</v>
      </c>
      <c r="G60" s="56">
        <v>3</v>
      </c>
      <c r="H60" s="57" t="s">
        <v>12</v>
      </c>
      <c r="L60" s="160">
        <v>6</v>
      </c>
    </row>
    <row r="61" spans="1:12">
      <c r="A61" s="52" t="s">
        <v>139</v>
      </c>
      <c r="B61" s="53" t="s">
        <v>38</v>
      </c>
      <c r="C61" s="67" t="s">
        <v>41</v>
      </c>
      <c r="D61" s="53" t="s">
        <v>12</v>
      </c>
      <c r="E61" s="54">
        <v>84924</v>
      </c>
      <c r="F61" s="55">
        <v>42414</v>
      </c>
      <c r="G61" s="56">
        <v>5</v>
      </c>
      <c r="H61" s="57" t="s">
        <v>27</v>
      </c>
      <c r="L61" s="160">
        <v>1</v>
      </c>
    </row>
    <row r="62" spans="1:12">
      <c r="A62" s="52" t="s">
        <v>141</v>
      </c>
      <c r="B62" s="53" t="s">
        <v>38</v>
      </c>
      <c r="C62" s="53" t="s">
        <v>10</v>
      </c>
      <c r="D62" s="53" t="s">
        <v>26</v>
      </c>
      <c r="E62" s="54">
        <v>82033</v>
      </c>
      <c r="F62" s="55">
        <v>42421</v>
      </c>
      <c r="G62" s="56">
        <v>1</v>
      </c>
      <c r="H62" s="57" t="s">
        <v>12</v>
      </c>
      <c r="L62" s="160">
        <v>4</v>
      </c>
    </row>
    <row r="63" spans="1:12">
      <c r="A63" s="52" t="s">
        <v>142</v>
      </c>
      <c r="B63" s="53" t="s">
        <v>12</v>
      </c>
      <c r="C63" s="53" t="s">
        <v>41</v>
      </c>
      <c r="D63" s="53" t="s">
        <v>17</v>
      </c>
      <c r="E63" s="54">
        <v>64763.364705882355</v>
      </c>
      <c r="F63" s="55" t="s">
        <v>12</v>
      </c>
      <c r="G63" s="56">
        <v>5</v>
      </c>
      <c r="H63" s="57" t="s">
        <v>12</v>
      </c>
      <c r="L63" s="160">
        <v>2</v>
      </c>
    </row>
    <row r="64" spans="1:12">
      <c r="A64" s="52" t="s">
        <v>144</v>
      </c>
      <c r="B64" s="67" t="s">
        <v>15</v>
      </c>
      <c r="C64" s="53" t="s">
        <v>12</v>
      </c>
      <c r="D64" s="53" t="s">
        <v>63</v>
      </c>
      <c r="E64" s="54">
        <v>31499</v>
      </c>
      <c r="F64" s="55">
        <v>42435</v>
      </c>
      <c r="G64" s="56">
        <v>2</v>
      </c>
      <c r="H64" s="57" t="s">
        <v>12</v>
      </c>
      <c r="L64" s="160">
        <v>18</v>
      </c>
    </row>
    <row r="65" spans="1:12">
      <c r="A65" s="52" t="s">
        <v>145</v>
      </c>
      <c r="B65" s="53" t="s">
        <v>40</v>
      </c>
      <c r="C65" s="53" t="s">
        <v>33</v>
      </c>
      <c r="D65" s="53" t="s">
        <v>46</v>
      </c>
      <c r="E65" s="54">
        <v>97981</v>
      </c>
      <c r="F65" s="55">
        <v>42442</v>
      </c>
      <c r="G65" s="56">
        <v>5</v>
      </c>
      <c r="H65" s="57" t="s">
        <v>35</v>
      </c>
      <c r="L65" s="160">
        <v>10</v>
      </c>
    </row>
    <row r="66" spans="1:12">
      <c r="A66" s="52" t="s">
        <v>147</v>
      </c>
      <c r="B66" s="53" t="s">
        <v>15</v>
      </c>
      <c r="C66" s="53" t="s">
        <v>16</v>
      </c>
      <c r="D66" s="53" t="s">
        <v>26</v>
      </c>
      <c r="E66" s="54">
        <v>36541</v>
      </c>
      <c r="F66" s="55">
        <v>42449</v>
      </c>
      <c r="G66" s="56">
        <v>2</v>
      </c>
      <c r="H66" s="57" t="s">
        <v>18</v>
      </c>
      <c r="L66" s="160">
        <v>4</v>
      </c>
    </row>
    <row r="67" spans="1:12">
      <c r="A67" s="52" t="s">
        <v>149</v>
      </c>
      <c r="B67" s="53" t="s">
        <v>24</v>
      </c>
      <c r="C67" s="53" t="s">
        <v>33</v>
      </c>
      <c r="D67" s="53" t="s">
        <v>34</v>
      </c>
      <c r="E67" s="54">
        <v>84737</v>
      </c>
      <c r="F67" s="55">
        <v>42456</v>
      </c>
      <c r="G67" s="56">
        <v>1</v>
      </c>
      <c r="H67" s="57" t="s">
        <v>27</v>
      </c>
      <c r="L67" s="160">
        <v>6</v>
      </c>
    </row>
    <row r="68" spans="1:12">
      <c r="A68" s="52" t="s">
        <v>151</v>
      </c>
      <c r="B68" s="53" t="s">
        <v>38</v>
      </c>
      <c r="C68" s="53" t="s">
        <v>10</v>
      </c>
      <c r="D68" s="53" t="s">
        <v>34</v>
      </c>
      <c r="E68" s="54">
        <v>33468</v>
      </c>
      <c r="F68" s="55">
        <v>42463</v>
      </c>
      <c r="G68" s="56">
        <v>4</v>
      </c>
      <c r="H68" s="57" t="s">
        <v>27</v>
      </c>
      <c r="L68" s="160">
        <v>6</v>
      </c>
    </row>
    <row r="69" spans="1:12">
      <c r="A69" s="52" t="s">
        <v>153</v>
      </c>
      <c r="B69" s="67" t="s">
        <v>38</v>
      </c>
      <c r="C69" s="53" t="s">
        <v>12</v>
      </c>
      <c r="D69" s="53" t="s">
        <v>63</v>
      </c>
      <c r="E69" s="54">
        <v>96365</v>
      </c>
      <c r="F69" s="55">
        <v>42470</v>
      </c>
      <c r="G69" s="56">
        <v>3</v>
      </c>
      <c r="H69" s="57" t="s">
        <v>18</v>
      </c>
      <c r="L69" s="160">
        <v>18</v>
      </c>
    </row>
    <row r="70" spans="1:12">
      <c r="A70" s="52" t="s">
        <v>155</v>
      </c>
      <c r="B70" s="53" t="s">
        <v>21</v>
      </c>
      <c r="C70" s="53" t="s">
        <v>25</v>
      </c>
      <c r="D70" s="53" t="s">
        <v>34</v>
      </c>
      <c r="E70" s="54">
        <v>61942</v>
      </c>
      <c r="F70" s="55">
        <v>42477</v>
      </c>
      <c r="G70" s="56">
        <v>3</v>
      </c>
      <c r="H70" s="57" t="s">
        <v>35</v>
      </c>
      <c r="L70" s="160">
        <v>6</v>
      </c>
    </row>
    <row r="71" spans="1:12">
      <c r="A71" s="52" t="s">
        <v>157</v>
      </c>
      <c r="B71" s="53" t="s">
        <v>38</v>
      </c>
      <c r="C71" s="53" t="s">
        <v>10</v>
      </c>
      <c r="D71" s="53" t="s">
        <v>46</v>
      </c>
      <c r="E71" s="54">
        <v>41467</v>
      </c>
      <c r="F71" s="55">
        <v>42484</v>
      </c>
      <c r="G71" s="56">
        <v>2</v>
      </c>
      <c r="H71" s="57" t="s">
        <v>12</v>
      </c>
      <c r="L71" s="160">
        <v>10</v>
      </c>
    </row>
    <row r="72" spans="1:12">
      <c r="A72" s="52" t="s">
        <v>158</v>
      </c>
      <c r="B72" s="53" t="s">
        <v>53</v>
      </c>
      <c r="C72" s="53" t="s">
        <v>10</v>
      </c>
      <c r="D72" s="53" t="s">
        <v>34</v>
      </c>
      <c r="E72" s="54">
        <v>77096</v>
      </c>
      <c r="F72" s="55">
        <v>42491</v>
      </c>
      <c r="G72" s="56">
        <v>1</v>
      </c>
      <c r="H72" s="57" t="s">
        <v>12</v>
      </c>
      <c r="L72" s="160">
        <v>6</v>
      </c>
    </row>
    <row r="73" spans="1:12">
      <c r="A73" s="52" t="s">
        <v>160</v>
      </c>
      <c r="B73" s="53" t="s">
        <v>15</v>
      </c>
      <c r="C73" s="53" t="s">
        <v>25</v>
      </c>
      <c r="D73" s="53" t="s">
        <v>63</v>
      </c>
      <c r="E73" s="54">
        <v>69952</v>
      </c>
      <c r="F73" s="55">
        <v>42498</v>
      </c>
      <c r="G73" s="56">
        <v>5</v>
      </c>
      <c r="H73" s="57" t="s">
        <v>35</v>
      </c>
      <c r="L73" s="160">
        <v>18</v>
      </c>
    </row>
    <row r="74" spans="1:12">
      <c r="A74" s="52" t="s">
        <v>161</v>
      </c>
      <c r="B74" s="53" t="s">
        <v>15</v>
      </c>
      <c r="C74" s="53" t="s">
        <v>41</v>
      </c>
      <c r="D74" s="53" t="s">
        <v>26</v>
      </c>
      <c r="E74" s="54">
        <v>85065</v>
      </c>
      <c r="F74" s="55">
        <v>42505</v>
      </c>
      <c r="G74" s="56">
        <v>3</v>
      </c>
      <c r="H74" s="57" t="s">
        <v>12</v>
      </c>
      <c r="L74" s="160">
        <v>4</v>
      </c>
    </row>
    <row r="75" spans="1:12">
      <c r="A75" s="52" t="s">
        <v>163</v>
      </c>
      <c r="B75" s="53" t="s">
        <v>53</v>
      </c>
      <c r="C75" s="53" t="s">
        <v>41</v>
      </c>
      <c r="D75" s="53" t="s">
        <v>34</v>
      </c>
      <c r="E75" s="54">
        <v>56512</v>
      </c>
      <c r="F75" s="55">
        <v>42512</v>
      </c>
      <c r="G75" s="56">
        <v>2.8571428571428572</v>
      </c>
      <c r="H75" s="57" t="s">
        <v>18</v>
      </c>
      <c r="L75" s="160">
        <v>6</v>
      </c>
    </row>
    <row r="76" spans="1:12">
      <c r="A76" s="52" t="s">
        <v>164</v>
      </c>
      <c r="B76" s="53" t="s">
        <v>24</v>
      </c>
      <c r="C76" s="53" t="s">
        <v>25</v>
      </c>
      <c r="D76" s="53" t="s">
        <v>34</v>
      </c>
      <c r="E76" s="54">
        <v>91101</v>
      </c>
      <c r="F76" s="55">
        <v>42519</v>
      </c>
      <c r="G76" s="56">
        <v>4</v>
      </c>
      <c r="H76" s="57" t="s">
        <v>35</v>
      </c>
      <c r="L76" s="160">
        <v>6</v>
      </c>
    </row>
    <row r="77" spans="1:12">
      <c r="A77" s="52" t="s">
        <v>165</v>
      </c>
      <c r="B77" s="67" t="s">
        <v>38</v>
      </c>
      <c r="C77" s="53" t="s">
        <v>12</v>
      </c>
      <c r="D77" s="53" t="s">
        <v>17</v>
      </c>
      <c r="E77" s="54">
        <v>41243</v>
      </c>
      <c r="F77" s="55">
        <v>42526</v>
      </c>
      <c r="G77" s="56">
        <v>2.838709677419355</v>
      </c>
      <c r="H77" s="57" t="s">
        <v>12</v>
      </c>
      <c r="L77" s="160">
        <v>2</v>
      </c>
    </row>
    <row r="78" spans="1:12">
      <c r="A78" s="52" t="s">
        <v>166</v>
      </c>
      <c r="B78" s="53" t="s">
        <v>12</v>
      </c>
      <c r="C78" s="53" t="s">
        <v>25</v>
      </c>
      <c r="D78" s="53" t="s">
        <v>12</v>
      </c>
      <c r="E78" s="54">
        <v>96142</v>
      </c>
      <c r="F78" s="55">
        <v>42533</v>
      </c>
      <c r="G78" s="56">
        <v>1</v>
      </c>
      <c r="H78" s="57" t="s">
        <v>18</v>
      </c>
      <c r="L78" s="160">
        <v>1</v>
      </c>
    </row>
    <row r="79" spans="1:12">
      <c r="A79" s="52" t="s">
        <v>168</v>
      </c>
      <c r="B79" s="53" t="s">
        <v>15</v>
      </c>
      <c r="C79" s="53" t="s">
        <v>33</v>
      </c>
      <c r="D79" s="53" t="s">
        <v>34</v>
      </c>
      <c r="E79" s="54">
        <v>94301</v>
      </c>
      <c r="F79" s="55">
        <v>42540</v>
      </c>
      <c r="G79" s="56">
        <v>1</v>
      </c>
      <c r="H79" s="57" t="s">
        <v>27</v>
      </c>
      <c r="L79" s="160">
        <v>6</v>
      </c>
    </row>
    <row r="80" spans="1:12">
      <c r="A80" s="52" t="s">
        <v>169</v>
      </c>
      <c r="B80" s="67" t="s">
        <v>30</v>
      </c>
      <c r="C80" s="53" t="s">
        <v>12</v>
      </c>
      <c r="D80" s="53" t="s">
        <v>46</v>
      </c>
      <c r="E80" s="54">
        <v>69166</v>
      </c>
      <c r="F80" s="55">
        <v>42547</v>
      </c>
      <c r="G80" s="56">
        <v>1</v>
      </c>
      <c r="H80" s="57" t="s">
        <v>35</v>
      </c>
      <c r="L80" s="160">
        <v>10</v>
      </c>
    </row>
    <row r="81" spans="1:12">
      <c r="A81" s="52" t="s">
        <v>171</v>
      </c>
      <c r="B81" s="67" t="s">
        <v>38</v>
      </c>
      <c r="C81" s="53" t="s">
        <v>12</v>
      </c>
      <c r="D81" s="53" t="s">
        <v>46</v>
      </c>
      <c r="E81" s="54">
        <v>78245</v>
      </c>
      <c r="F81" s="55">
        <v>42554</v>
      </c>
      <c r="G81" s="56">
        <v>2</v>
      </c>
      <c r="H81" s="57" t="s">
        <v>12</v>
      </c>
      <c r="L81" s="160">
        <v>10</v>
      </c>
    </row>
    <row r="82" spans="1:12">
      <c r="A82" s="52" t="s">
        <v>173</v>
      </c>
      <c r="B82" s="53" t="s">
        <v>40</v>
      </c>
      <c r="C82" s="53" t="s">
        <v>25</v>
      </c>
      <c r="D82" s="53" t="s">
        <v>26</v>
      </c>
      <c r="E82" s="54">
        <v>66079</v>
      </c>
      <c r="F82" s="55">
        <v>42561</v>
      </c>
      <c r="G82" s="56">
        <v>2</v>
      </c>
      <c r="H82" s="57" t="s">
        <v>18</v>
      </c>
      <c r="L82" s="160">
        <v>4</v>
      </c>
    </row>
    <row r="83" spans="1:12">
      <c r="A83" s="52" t="s">
        <v>175</v>
      </c>
      <c r="B83" s="53" t="s">
        <v>15</v>
      </c>
      <c r="C83" s="53" t="s">
        <v>41</v>
      </c>
      <c r="D83" s="53" t="s">
        <v>34</v>
      </c>
      <c r="E83" s="54">
        <v>63575.515151515152</v>
      </c>
      <c r="F83" s="55" t="s">
        <v>12</v>
      </c>
      <c r="G83" s="56">
        <v>2.9649122807017543</v>
      </c>
      <c r="H83" s="57" t="s">
        <v>12</v>
      </c>
      <c r="L83" s="160">
        <v>6</v>
      </c>
    </row>
    <row r="84" spans="1:12">
      <c r="A84" s="52" t="s">
        <v>176</v>
      </c>
      <c r="B84" s="53" t="s">
        <v>30</v>
      </c>
      <c r="C84" s="53" t="s">
        <v>25</v>
      </c>
      <c r="D84" s="53" t="s">
        <v>26</v>
      </c>
      <c r="E84" s="54">
        <v>95621</v>
      </c>
      <c r="F84" s="55">
        <v>42575</v>
      </c>
      <c r="G84" s="56">
        <v>3</v>
      </c>
      <c r="H84" s="57" t="s">
        <v>35</v>
      </c>
      <c r="L84" s="160">
        <v>4</v>
      </c>
    </row>
    <row r="85" spans="1:12">
      <c r="A85" s="52" t="s">
        <v>178</v>
      </c>
      <c r="B85" s="53" t="s">
        <v>15</v>
      </c>
      <c r="C85" s="53" t="s">
        <v>33</v>
      </c>
      <c r="D85" s="53" t="s">
        <v>46</v>
      </c>
      <c r="E85" s="54">
        <v>42262</v>
      </c>
      <c r="F85" s="55">
        <v>42582</v>
      </c>
      <c r="G85" s="56">
        <v>1</v>
      </c>
      <c r="H85" s="57" t="s">
        <v>12</v>
      </c>
      <c r="L85" s="160">
        <v>10</v>
      </c>
    </row>
    <row r="86" spans="1:12">
      <c r="A86" s="52" t="s">
        <v>180</v>
      </c>
      <c r="B86" s="53" t="s">
        <v>38</v>
      </c>
      <c r="C86" s="53" t="s">
        <v>25</v>
      </c>
      <c r="D86" s="53" t="s">
        <v>34</v>
      </c>
      <c r="E86" s="54">
        <v>99621</v>
      </c>
      <c r="F86" s="55">
        <v>42589</v>
      </c>
      <c r="G86" s="56">
        <v>3</v>
      </c>
      <c r="H86" s="57" t="s">
        <v>18</v>
      </c>
      <c r="L86" s="160">
        <v>6</v>
      </c>
    </row>
    <row r="87" spans="1:12">
      <c r="A87" s="52" t="s">
        <v>182</v>
      </c>
      <c r="B87" s="53" t="s">
        <v>24</v>
      </c>
      <c r="C87" s="53" t="s">
        <v>41</v>
      </c>
      <c r="D87" s="53" t="s">
        <v>34</v>
      </c>
      <c r="E87" s="54">
        <v>44682</v>
      </c>
      <c r="F87" s="55">
        <v>42596</v>
      </c>
      <c r="G87" s="56">
        <v>4</v>
      </c>
      <c r="H87" s="57" t="s">
        <v>35</v>
      </c>
      <c r="L87" s="160">
        <v>6</v>
      </c>
    </row>
    <row r="88" spans="1:12">
      <c r="A88" s="52" t="s">
        <v>183</v>
      </c>
      <c r="B88" s="53" t="s">
        <v>40</v>
      </c>
      <c r="C88" s="53" t="s">
        <v>10</v>
      </c>
      <c r="D88" s="53" t="s">
        <v>12</v>
      </c>
      <c r="E88" s="54">
        <v>35163</v>
      </c>
      <c r="F88" s="55">
        <v>42603</v>
      </c>
      <c r="G88" s="56">
        <v>5</v>
      </c>
      <c r="H88" s="57" t="s">
        <v>18</v>
      </c>
      <c r="L88" s="160">
        <v>1</v>
      </c>
    </row>
    <row r="89" spans="1:12">
      <c r="A89" s="52" t="s">
        <v>185</v>
      </c>
      <c r="B89" s="53" t="s">
        <v>40</v>
      </c>
      <c r="C89" s="53" t="s">
        <v>33</v>
      </c>
      <c r="D89" s="53" t="s">
        <v>34</v>
      </c>
      <c r="E89" s="54">
        <v>33483</v>
      </c>
      <c r="F89" s="55">
        <v>42610</v>
      </c>
      <c r="G89" s="56">
        <v>4</v>
      </c>
      <c r="H89" s="57" t="s">
        <v>27</v>
      </c>
      <c r="L89" s="160">
        <v>6</v>
      </c>
    </row>
    <row r="90" spans="1:12">
      <c r="A90" s="52" t="s">
        <v>187</v>
      </c>
      <c r="B90" s="53" t="s">
        <v>38</v>
      </c>
      <c r="C90" s="53" t="s">
        <v>16</v>
      </c>
      <c r="D90" s="53" t="s">
        <v>17</v>
      </c>
      <c r="E90" s="54">
        <v>55303</v>
      </c>
      <c r="F90" s="55">
        <v>42617</v>
      </c>
      <c r="G90" s="56">
        <v>4</v>
      </c>
      <c r="H90" s="57" t="s">
        <v>27</v>
      </c>
      <c r="L90" s="160">
        <v>2</v>
      </c>
    </row>
    <row r="91" spans="1:12">
      <c r="A91" s="52" t="s">
        <v>188</v>
      </c>
      <c r="B91" s="53" t="s">
        <v>40</v>
      </c>
      <c r="C91" s="53" t="s">
        <v>33</v>
      </c>
      <c r="D91" s="53" t="s">
        <v>12</v>
      </c>
      <c r="E91" s="54">
        <v>63434</v>
      </c>
      <c r="F91" s="55">
        <v>42624</v>
      </c>
      <c r="G91" s="56">
        <v>3</v>
      </c>
      <c r="H91" s="57" t="s">
        <v>12</v>
      </c>
      <c r="L91" s="160">
        <v>1</v>
      </c>
    </row>
    <row r="92" spans="1:12">
      <c r="A92" s="52" t="s">
        <v>190</v>
      </c>
      <c r="B92" s="67" t="s">
        <v>30</v>
      </c>
      <c r="C92" s="53" t="s">
        <v>12</v>
      </c>
      <c r="D92" s="53" t="s">
        <v>63</v>
      </c>
      <c r="E92" s="54">
        <v>38830</v>
      </c>
      <c r="F92" s="55">
        <v>42631</v>
      </c>
      <c r="G92" s="56">
        <v>3</v>
      </c>
      <c r="H92" s="57" t="s">
        <v>18</v>
      </c>
      <c r="L92" s="160">
        <v>18</v>
      </c>
    </row>
    <row r="93" spans="1:12">
      <c r="A93" s="52" t="s">
        <v>191</v>
      </c>
      <c r="B93" s="53" t="s">
        <v>12</v>
      </c>
      <c r="C93" s="53" t="s">
        <v>41</v>
      </c>
      <c r="D93" s="53" t="s">
        <v>46</v>
      </c>
      <c r="E93" s="54">
        <v>50741</v>
      </c>
      <c r="F93" s="55">
        <v>42638</v>
      </c>
      <c r="G93" s="56">
        <v>3</v>
      </c>
      <c r="H93" s="57" t="s">
        <v>12</v>
      </c>
      <c r="L93" s="160">
        <v>10</v>
      </c>
    </row>
    <row r="94" spans="1:12">
      <c r="A94" s="52" t="s">
        <v>192</v>
      </c>
      <c r="B94" s="53" t="s">
        <v>21</v>
      </c>
      <c r="C94" s="53" t="s">
        <v>16</v>
      </c>
      <c r="D94" s="53" t="s">
        <v>63</v>
      </c>
      <c r="E94" s="54">
        <v>69420</v>
      </c>
      <c r="F94" s="55">
        <v>42645</v>
      </c>
      <c r="G94" s="56">
        <v>1</v>
      </c>
      <c r="H94" s="57" t="s">
        <v>27</v>
      </c>
      <c r="L94" s="160">
        <v>18</v>
      </c>
    </row>
    <row r="95" spans="1:12">
      <c r="A95" s="52" t="s">
        <v>193</v>
      </c>
      <c r="B95" s="53" t="s">
        <v>30</v>
      </c>
      <c r="C95" s="53" t="s">
        <v>33</v>
      </c>
      <c r="D95" s="53" t="s">
        <v>12</v>
      </c>
      <c r="E95" s="54">
        <v>80588</v>
      </c>
      <c r="F95" s="55">
        <v>42652</v>
      </c>
      <c r="G95" s="56">
        <v>5</v>
      </c>
      <c r="H95" s="57" t="s">
        <v>27</v>
      </c>
      <c r="L95" s="160">
        <v>1</v>
      </c>
    </row>
    <row r="96" spans="1:12">
      <c r="A96" s="52" t="s">
        <v>194</v>
      </c>
      <c r="B96" s="67" t="s">
        <v>21</v>
      </c>
      <c r="C96" s="53" t="s">
        <v>12</v>
      </c>
      <c r="D96" s="53" t="s">
        <v>26</v>
      </c>
      <c r="E96" s="54">
        <v>76238</v>
      </c>
      <c r="F96" s="55">
        <v>42659</v>
      </c>
      <c r="G96" s="56">
        <v>4</v>
      </c>
      <c r="H96" s="57" t="s">
        <v>27</v>
      </c>
      <c r="L96" s="160">
        <v>4</v>
      </c>
    </row>
    <row r="97" spans="1:12">
      <c r="A97" s="52" t="s">
        <v>196</v>
      </c>
      <c r="B97" s="53" t="s">
        <v>53</v>
      </c>
      <c r="C97" s="53" t="s">
        <v>33</v>
      </c>
      <c r="D97" s="53" t="s">
        <v>34</v>
      </c>
      <c r="E97" s="54">
        <v>33264</v>
      </c>
      <c r="F97" s="55">
        <v>42666</v>
      </c>
      <c r="G97" s="56">
        <v>2.8666666666666667</v>
      </c>
      <c r="H97" s="57" t="s">
        <v>35</v>
      </c>
      <c r="L97" s="160">
        <v>6</v>
      </c>
    </row>
    <row r="98" spans="1:12">
      <c r="A98" s="52" t="s">
        <v>198</v>
      </c>
      <c r="B98" s="53" t="s">
        <v>21</v>
      </c>
      <c r="C98" s="53" t="s">
        <v>10</v>
      </c>
      <c r="D98" s="53" t="s">
        <v>63</v>
      </c>
      <c r="E98" s="54">
        <v>96101</v>
      </c>
      <c r="F98" s="55">
        <v>42673</v>
      </c>
      <c r="G98" s="56">
        <v>2.8666666666666667</v>
      </c>
      <c r="H98" s="57" t="s">
        <v>18</v>
      </c>
      <c r="L98" s="160">
        <v>18</v>
      </c>
    </row>
    <row r="99" spans="1:12">
      <c r="A99" s="52" t="s">
        <v>200</v>
      </c>
      <c r="B99" s="53" t="s">
        <v>30</v>
      </c>
      <c r="C99" s="53" t="s">
        <v>10</v>
      </c>
      <c r="D99" s="53" t="s">
        <v>26</v>
      </c>
      <c r="E99" s="54">
        <v>72939</v>
      </c>
      <c r="F99" s="55">
        <v>42680</v>
      </c>
      <c r="G99" s="56">
        <v>3</v>
      </c>
      <c r="H99" s="57" t="s">
        <v>12</v>
      </c>
      <c r="L99" s="160">
        <v>4</v>
      </c>
    </row>
    <row r="100" spans="1:12">
      <c r="A100" s="52" t="s">
        <v>202</v>
      </c>
      <c r="B100" s="53" t="s">
        <v>38</v>
      </c>
      <c r="C100" s="53" t="s">
        <v>16</v>
      </c>
      <c r="D100" s="53" t="s">
        <v>17</v>
      </c>
      <c r="E100" s="54">
        <v>89333</v>
      </c>
      <c r="F100" s="55">
        <v>42687</v>
      </c>
      <c r="G100" s="56">
        <v>1</v>
      </c>
      <c r="H100" s="57" t="s">
        <v>27</v>
      </c>
      <c r="L100" s="160">
        <v>2</v>
      </c>
    </row>
    <row r="101" spans="1:12">
      <c r="A101" s="52" t="s">
        <v>204</v>
      </c>
      <c r="B101" s="53" t="s">
        <v>53</v>
      </c>
      <c r="C101" s="53" t="s">
        <v>33</v>
      </c>
      <c r="D101" s="53" t="s">
        <v>63</v>
      </c>
      <c r="E101" s="54">
        <v>70470</v>
      </c>
      <c r="F101" s="55">
        <v>42694</v>
      </c>
      <c r="G101" s="56">
        <v>2.9069767441860463</v>
      </c>
      <c r="H101" s="57" t="s">
        <v>27</v>
      </c>
      <c r="L101" s="160">
        <v>18</v>
      </c>
    </row>
    <row r="102" spans="1:12">
      <c r="A102" s="52" t="s">
        <v>206</v>
      </c>
      <c r="B102" s="53" t="s">
        <v>15</v>
      </c>
      <c r="C102" s="53" t="s">
        <v>41</v>
      </c>
      <c r="D102" s="53" t="s">
        <v>26</v>
      </c>
      <c r="E102" s="54">
        <v>70096</v>
      </c>
      <c r="F102" s="55">
        <v>42701</v>
      </c>
      <c r="G102" s="56">
        <v>4</v>
      </c>
      <c r="H102" s="57" t="s">
        <v>27</v>
      </c>
      <c r="L102" s="160">
        <v>4</v>
      </c>
    </row>
    <row r="103" spans="1:12">
      <c r="A103" s="52" t="s">
        <v>208</v>
      </c>
      <c r="B103" s="53" t="s">
        <v>53</v>
      </c>
      <c r="C103" s="53" t="s">
        <v>41</v>
      </c>
      <c r="D103" s="53" t="s">
        <v>12</v>
      </c>
      <c r="E103" s="54">
        <v>63370.106382978724</v>
      </c>
      <c r="F103" s="55">
        <v>42708</v>
      </c>
      <c r="G103" s="56">
        <v>2</v>
      </c>
      <c r="H103" s="57" t="s">
        <v>18</v>
      </c>
      <c r="L103" s="160">
        <v>1</v>
      </c>
    </row>
    <row r="104" spans="1:12">
      <c r="A104" s="52" t="s">
        <v>210</v>
      </c>
      <c r="B104" s="53" t="s">
        <v>53</v>
      </c>
      <c r="C104" s="53" t="s">
        <v>33</v>
      </c>
      <c r="D104" s="53" t="s">
        <v>17</v>
      </c>
      <c r="E104" s="54">
        <v>66503</v>
      </c>
      <c r="F104" s="55">
        <v>42715</v>
      </c>
      <c r="G104" s="56">
        <v>2.9024390243902438</v>
      </c>
      <c r="H104" s="57" t="s">
        <v>27</v>
      </c>
      <c r="L104" s="160">
        <v>2</v>
      </c>
    </row>
    <row r="105" spans="1:12">
      <c r="A105" s="52" t="s">
        <v>211</v>
      </c>
      <c r="B105" s="53" t="s">
        <v>21</v>
      </c>
      <c r="C105" s="53" t="s">
        <v>16</v>
      </c>
      <c r="D105" s="53" t="s">
        <v>17</v>
      </c>
      <c r="E105" s="54">
        <v>42096</v>
      </c>
      <c r="F105" s="55">
        <v>42722</v>
      </c>
      <c r="G105" s="56">
        <v>2.9024390243902438</v>
      </c>
      <c r="H105" s="57" t="s">
        <v>35</v>
      </c>
      <c r="L105" s="160">
        <v>2</v>
      </c>
    </row>
    <row r="106" spans="1:12">
      <c r="A106" s="52" t="s">
        <v>213</v>
      </c>
      <c r="B106" s="53" t="s">
        <v>21</v>
      </c>
      <c r="C106" s="67" t="s">
        <v>41</v>
      </c>
      <c r="D106" s="53" t="s">
        <v>12</v>
      </c>
      <c r="E106" s="54">
        <v>79145</v>
      </c>
      <c r="F106" s="55">
        <v>42729</v>
      </c>
      <c r="G106" s="56">
        <v>5</v>
      </c>
      <c r="H106" s="57" t="s">
        <v>18</v>
      </c>
      <c r="L106" s="160">
        <v>1</v>
      </c>
    </row>
    <row r="107" spans="1:12">
      <c r="A107" s="52" t="s">
        <v>214</v>
      </c>
      <c r="B107" s="67" t="s">
        <v>30</v>
      </c>
      <c r="C107" s="53" t="s">
        <v>12</v>
      </c>
      <c r="D107" s="53" t="s">
        <v>63</v>
      </c>
      <c r="E107" s="54">
        <v>61556</v>
      </c>
      <c r="F107" s="55">
        <v>42736</v>
      </c>
      <c r="G107" s="56">
        <v>1</v>
      </c>
      <c r="H107" s="57" t="s">
        <v>12</v>
      </c>
      <c r="L107" s="160">
        <v>18</v>
      </c>
    </row>
    <row r="108" spans="1:12">
      <c r="A108" s="52" t="s">
        <v>215</v>
      </c>
      <c r="B108" s="53" t="s">
        <v>12</v>
      </c>
      <c r="C108" s="53" t="s">
        <v>16</v>
      </c>
      <c r="D108" s="53" t="s">
        <v>46</v>
      </c>
      <c r="E108" s="54">
        <v>87963</v>
      </c>
      <c r="F108" s="55">
        <v>42743</v>
      </c>
      <c r="G108" s="56">
        <v>3</v>
      </c>
      <c r="H108" s="57" t="s">
        <v>18</v>
      </c>
      <c r="L108" s="160">
        <v>10</v>
      </c>
    </row>
    <row r="109" spans="1:12">
      <c r="A109" s="52" t="s">
        <v>216</v>
      </c>
      <c r="B109" s="53" t="s">
        <v>15</v>
      </c>
      <c r="C109" s="53" t="s">
        <v>33</v>
      </c>
      <c r="D109" s="53" t="s">
        <v>12</v>
      </c>
      <c r="E109" s="54">
        <v>48325</v>
      </c>
      <c r="F109" s="55">
        <v>42750</v>
      </c>
      <c r="G109" s="56">
        <v>2.8947368421052633</v>
      </c>
      <c r="H109" s="57" t="s">
        <v>27</v>
      </c>
      <c r="L109" s="160">
        <v>1</v>
      </c>
    </row>
    <row r="110" spans="1:12">
      <c r="A110" s="52" t="s">
        <v>218</v>
      </c>
      <c r="B110" s="53" t="s">
        <v>38</v>
      </c>
      <c r="C110" s="53" t="s">
        <v>41</v>
      </c>
      <c r="D110" s="53" t="s">
        <v>63</v>
      </c>
      <c r="E110" s="54">
        <v>86412</v>
      </c>
      <c r="F110" s="55">
        <v>42757</v>
      </c>
      <c r="G110" s="56">
        <v>2</v>
      </c>
      <c r="H110" s="57" t="s">
        <v>35</v>
      </c>
      <c r="L110" s="160">
        <v>18</v>
      </c>
    </row>
    <row r="111" spans="1:12">
      <c r="A111" s="52" t="s">
        <v>219</v>
      </c>
      <c r="B111" s="53" t="s">
        <v>38</v>
      </c>
      <c r="C111" s="53" t="s">
        <v>16</v>
      </c>
      <c r="D111" s="53" t="s">
        <v>12</v>
      </c>
      <c r="E111" s="54">
        <v>66761</v>
      </c>
      <c r="F111" s="55">
        <v>42764</v>
      </c>
      <c r="G111" s="56">
        <v>1</v>
      </c>
      <c r="H111" s="57" t="s">
        <v>12</v>
      </c>
      <c r="L111" s="160">
        <v>1</v>
      </c>
    </row>
    <row r="112" spans="1:12">
      <c r="A112" s="52" t="s">
        <v>221</v>
      </c>
      <c r="B112" s="67" t="s">
        <v>30</v>
      </c>
      <c r="C112" s="53" t="s">
        <v>12</v>
      </c>
      <c r="D112" s="53" t="s">
        <v>34</v>
      </c>
      <c r="E112" s="54">
        <v>88850</v>
      </c>
      <c r="F112" s="55">
        <v>42771</v>
      </c>
      <c r="G112" s="56">
        <v>1</v>
      </c>
      <c r="H112" s="57" t="s">
        <v>35</v>
      </c>
      <c r="L112" s="160">
        <v>6</v>
      </c>
    </row>
    <row r="113" spans="1:12">
      <c r="A113" s="52" t="s">
        <v>223</v>
      </c>
      <c r="B113" s="53" t="s">
        <v>40</v>
      </c>
      <c r="C113" s="53" t="s">
        <v>25</v>
      </c>
      <c r="D113" s="53" t="s">
        <v>34</v>
      </c>
      <c r="E113" s="54">
        <v>31293</v>
      </c>
      <c r="F113" s="55" t="s">
        <v>12</v>
      </c>
      <c r="G113" s="56">
        <v>2</v>
      </c>
      <c r="H113" s="57" t="s">
        <v>35</v>
      </c>
      <c r="L113" s="160">
        <v>6</v>
      </c>
    </row>
    <row r="114" spans="1:12">
      <c r="A114" s="52" t="s">
        <v>225</v>
      </c>
      <c r="B114" s="53" t="s">
        <v>40</v>
      </c>
      <c r="C114" s="53" t="s">
        <v>33</v>
      </c>
      <c r="D114" s="53" t="s">
        <v>26</v>
      </c>
      <c r="E114" s="54">
        <v>34306</v>
      </c>
      <c r="F114" s="55">
        <v>42785</v>
      </c>
      <c r="G114" s="56">
        <v>5</v>
      </c>
      <c r="H114" s="57" t="s">
        <v>35</v>
      </c>
      <c r="L114" s="160">
        <v>4</v>
      </c>
    </row>
    <row r="115" spans="1:12">
      <c r="A115" s="52" t="s">
        <v>226</v>
      </c>
      <c r="B115" s="53" t="s">
        <v>15</v>
      </c>
      <c r="C115" s="53" t="s">
        <v>10</v>
      </c>
      <c r="D115" s="53" t="s">
        <v>34</v>
      </c>
      <c r="E115" s="54">
        <v>78330</v>
      </c>
      <c r="F115" s="55">
        <v>42792</v>
      </c>
      <c r="G115" s="56">
        <v>3</v>
      </c>
      <c r="H115" s="57" t="s">
        <v>18</v>
      </c>
      <c r="L115" s="160">
        <v>6</v>
      </c>
    </row>
    <row r="116" spans="1:12">
      <c r="A116" s="52" t="s">
        <v>227</v>
      </c>
      <c r="B116" s="53" t="s">
        <v>21</v>
      </c>
      <c r="C116" s="53" t="s">
        <v>33</v>
      </c>
      <c r="D116" s="53" t="s">
        <v>26</v>
      </c>
      <c r="E116" s="54">
        <v>47653</v>
      </c>
      <c r="F116" s="55">
        <v>42799</v>
      </c>
      <c r="G116" s="56">
        <v>1</v>
      </c>
      <c r="H116" s="57" t="s">
        <v>27</v>
      </c>
      <c r="L116" s="160">
        <v>4</v>
      </c>
    </row>
    <row r="117" spans="1:12">
      <c r="A117" s="52" t="s">
        <v>229</v>
      </c>
      <c r="B117" s="53" t="s">
        <v>15</v>
      </c>
      <c r="C117" s="53" t="s">
        <v>41</v>
      </c>
      <c r="D117" s="53" t="s">
        <v>46</v>
      </c>
      <c r="E117" s="54">
        <v>44627</v>
      </c>
      <c r="F117" s="55">
        <v>42806</v>
      </c>
      <c r="G117" s="56">
        <v>4</v>
      </c>
      <c r="H117" s="57" t="s">
        <v>12</v>
      </c>
      <c r="L117" s="160">
        <v>10</v>
      </c>
    </row>
    <row r="118" spans="1:12">
      <c r="A118" s="52" t="s">
        <v>230</v>
      </c>
      <c r="B118" s="53" t="s">
        <v>53</v>
      </c>
      <c r="C118" s="53" t="s">
        <v>16</v>
      </c>
      <c r="D118" s="53" t="s">
        <v>17</v>
      </c>
      <c r="E118" s="54">
        <v>92343</v>
      </c>
      <c r="F118" s="55">
        <v>42813</v>
      </c>
      <c r="G118" s="56">
        <v>4</v>
      </c>
      <c r="H118" s="57" t="s">
        <v>35</v>
      </c>
      <c r="L118" s="160">
        <v>2</v>
      </c>
    </row>
    <row r="119" spans="1:12">
      <c r="A119" s="52" t="s">
        <v>231</v>
      </c>
      <c r="B119" s="53" t="s">
        <v>53</v>
      </c>
      <c r="C119" s="53" t="s">
        <v>41</v>
      </c>
      <c r="D119" s="53" t="s">
        <v>63</v>
      </c>
      <c r="E119" s="54">
        <v>38837</v>
      </c>
      <c r="F119" s="55">
        <v>42820</v>
      </c>
      <c r="G119" s="56">
        <v>5</v>
      </c>
      <c r="H119" s="57" t="s">
        <v>35</v>
      </c>
      <c r="L119" s="160">
        <v>18</v>
      </c>
    </row>
    <row r="120" spans="1:12">
      <c r="A120" s="52" t="s">
        <v>232</v>
      </c>
      <c r="B120" s="53" t="s">
        <v>53</v>
      </c>
      <c r="C120" s="67" t="s">
        <v>41</v>
      </c>
      <c r="D120" s="53" t="s">
        <v>12</v>
      </c>
      <c r="E120" s="54">
        <v>73483</v>
      </c>
      <c r="F120" s="55">
        <v>42827</v>
      </c>
      <c r="G120" s="56">
        <v>1</v>
      </c>
      <c r="H120" s="57" t="s">
        <v>12</v>
      </c>
      <c r="L120" s="160">
        <v>1</v>
      </c>
    </row>
    <row r="121" spans="1:12">
      <c r="A121" s="52" t="s">
        <v>234</v>
      </c>
      <c r="B121" s="53" t="s">
        <v>40</v>
      </c>
      <c r="C121" s="53" t="s">
        <v>25</v>
      </c>
      <c r="D121" s="53" t="s">
        <v>34</v>
      </c>
      <c r="E121" s="54">
        <v>95032</v>
      </c>
      <c r="F121" s="55">
        <v>42834</v>
      </c>
      <c r="G121" s="56">
        <v>3</v>
      </c>
      <c r="H121" s="57" t="s">
        <v>12</v>
      </c>
      <c r="L121" s="160">
        <v>6</v>
      </c>
    </row>
    <row r="122" spans="1:12">
      <c r="A122" s="52" t="s">
        <v>236</v>
      </c>
      <c r="B122" s="53" t="s">
        <v>15</v>
      </c>
      <c r="C122" s="53" t="s">
        <v>25</v>
      </c>
      <c r="D122" s="53" t="s">
        <v>63</v>
      </c>
      <c r="E122" s="54">
        <v>44358</v>
      </c>
      <c r="F122" s="55">
        <v>42841</v>
      </c>
      <c r="G122" s="56">
        <v>3</v>
      </c>
      <c r="H122" s="57" t="s">
        <v>35</v>
      </c>
      <c r="L122" s="160">
        <v>18</v>
      </c>
    </row>
    <row r="123" spans="1:12">
      <c r="A123" s="52" t="s">
        <v>237</v>
      </c>
      <c r="B123" s="53" t="s">
        <v>12</v>
      </c>
      <c r="C123" s="53" t="s">
        <v>33</v>
      </c>
      <c r="D123" s="53" t="s">
        <v>26</v>
      </c>
      <c r="E123" s="54">
        <v>63232.928571428572</v>
      </c>
      <c r="F123" s="55" t="s">
        <v>12</v>
      </c>
      <c r="G123" s="56">
        <v>5</v>
      </c>
      <c r="H123" s="57" t="s">
        <v>12</v>
      </c>
      <c r="L123" s="160">
        <v>4</v>
      </c>
    </row>
    <row r="124" spans="1:12">
      <c r="A124" s="52" t="s">
        <v>239</v>
      </c>
      <c r="B124" s="53" t="s">
        <v>40</v>
      </c>
      <c r="C124" s="53" t="s">
        <v>25</v>
      </c>
      <c r="D124" s="53" t="s">
        <v>26</v>
      </c>
      <c r="E124" s="54">
        <v>45676</v>
      </c>
      <c r="F124" s="55">
        <v>42855</v>
      </c>
      <c r="G124" s="56">
        <v>2</v>
      </c>
      <c r="H124" s="57" t="s">
        <v>12</v>
      </c>
      <c r="L124" s="160">
        <v>4</v>
      </c>
    </row>
    <row r="125" spans="1:12">
      <c r="A125" s="52" t="s">
        <v>241</v>
      </c>
      <c r="B125" s="53" t="s">
        <v>53</v>
      </c>
      <c r="C125" s="53" t="s">
        <v>25</v>
      </c>
      <c r="D125" s="53" t="s">
        <v>17</v>
      </c>
      <c r="E125" s="54">
        <v>52036</v>
      </c>
      <c r="F125" s="55">
        <v>42862</v>
      </c>
      <c r="G125" s="56">
        <v>3</v>
      </c>
      <c r="H125" s="57" t="s">
        <v>27</v>
      </c>
      <c r="L125" s="160">
        <v>2</v>
      </c>
    </row>
    <row r="126" spans="1:12">
      <c r="A126" s="52" t="s">
        <v>243</v>
      </c>
      <c r="B126" s="67" t="s">
        <v>30</v>
      </c>
      <c r="C126" s="53" t="s">
        <v>12</v>
      </c>
      <c r="D126" s="53" t="s">
        <v>17</v>
      </c>
      <c r="E126" s="54">
        <v>30357</v>
      </c>
      <c r="F126" s="55">
        <v>42869</v>
      </c>
      <c r="G126" s="56">
        <v>5</v>
      </c>
      <c r="H126" s="57" t="s">
        <v>27</v>
      </c>
      <c r="L126" s="160">
        <v>2</v>
      </c>
    </row>
    <row r="127" spans="1:12">
      <c r="A127" s="52" t="s">
        <v>244</v>
      </c>
      <c r="B127" s="53" t="s">
        <v>24</v>
      </c>
      <c r="C127" s="53" t="s">
        <v>33</v>
      </c>
      <c r="D127" s="53" t="s">
        <v>12</v>
      </c>
      <c r="E127" s="54">
        <v>60034</v>
      </c>
      <c r="F127" s="55">
        <v>42876</v>
      </c>
      <c r="G127" s="56">
        <v>1</v>
      </c>
      <c r="H127" s="57" t="s">
        <v>35</v>
      </c>
      <c r="L127" s="160">
        <v>1</v>
      </c>
    </row>
    <row r="128" spans="1:12">
      <c r="A128" s="52" t="s">
        <v>246</v>
      </c>
      <c r="B128" s="53" t="s">
        <v>24</v>
      </c>
      <c r="C128" s="53" t="s">
        <v>10</v>
      </c>
      <c r="D128" s="53" t="s">
        <v>12</v>
      </c>
      <c r="E128" s="54">
        <v>90019</v>
      </c>
      <c r="F128" s="55">
        <v>42883</v>
      </c>
      <c r="G128" s="56">
        <v>5</v>
      </c>
      <c r="H128" s="57" t="s">
        <v>12</v>
      </c>
      <c r="L128" s="160">
        <v>1</v>
      </c>
    </row>
    <row r="129" spans="1:12">
      <c r="A129" s="52" t="s">
        <v>248</v>
      </c>
      <c r="B129" s="67" t="s">
        <v>53</v>
      </c>
      <c r="C129" s="53" t="s">
        <v>12</v>
      </c>
      <c r="D129" s="53" t="s">
        <v>17</v>
      </c>
      <c r="E129" s="54">
        <v>71494</v>
      </c>
      <c r="F129" s="55">
        <v>42890</v>
      </c>
      <c r="G129" s="56">
        <v>3</v>
      </c>
      <c r="H129" s="57" t="s">
        <v>27</v>
      </c>
      <c r="L129" s="160">
        <v>2</v>
      </c>
    </row>
    <row r="130" spans="1:12">
      <c r="A130" s="52" t="s">
        <v>250</v>
      </c>
      <c r="B130" s="53" t="s">
        <v>24</v>
      </c>
      <c r="C130" s="53" t="s">
        <v>10</v>
      </c>
      <c r="D130" s="53" t="s">
        <v>26</v>
      </c>
      <c r="E130" s="54">
        <v>91953</v>
      </c>
      <c r="F130" s="55">
        <v>42897</v>
      </c>
      <c r="G130" s="56">
        <v>2</v>
      </c>
      <c r="H130" s="57" t="s">
        <v>27</v>
      </c>
      <c r="L130" s="160">
        <v>4</v>
      </c>
    </row>
    <row r="131" spans="1:12">
      <c r="A131" s="52" t="s">
        <v>251</v>
      </c>
      <c r="B131" s="53" t="s">
        <v>40</v>
      </c>
      <c r="C131" s="53" t="s">
        <v>25</v>
      </c>
      <c r="D131" s="53" t="s">
        <v>26</v>
      </c>
      <c r="E131" s="54">
        <v>30402</v>
      </c>
      <c r="F131" s="55">
        <v>42904</v>
      </c>
      <c r="G131" s="56">
        <v>1</v>
      </c>
      <c r="H131" s="57" t="s">
        <v>12</v>
      </c>
      <c r="L131" s="160">
        <v>4</v>
      </c>
    </row>
    <row r="132" spans="1:12">
      <c r="A132" s="52" t="s">
        <v>253</v>
      </c>
      <c r="B132" s="67" t="s">
        <v>53</v>
      </c>
      <c r="C132" s="53" t="s">
        <v>12</v>
      </c>
      <c r="D132" s="53" t="s">
        <v>46</v>
      </c>
      <c r="E132" s="54">
        <v>62994</v>
      </c>
      <c r="F132" s="55">
        <v>42911</v>
      </c>
      <c r="G132" s="56">
        <v>3</v>
      </c>
      <c r="H132" s="57" t="s">
        <v>12</v>
      </c>
      <c r="L132" s="160">
        <v>10</v>
      </c>
    </row>
    <row r="133" spans="1:12">
      <c r="A133" s="52" t="s">
        <v>254</v>
      </c>
      <c r="B133" s="53" t="s">
        <v>21</v>
      </c>
      <c r="C133" s="53" t="s">
        <v>25</v>
      </c>
      <c r="D133" s="53" t="s">
        <v>34</v>
      </c>
      <c r="E133" s="54">
        <v>48289</v>
      </c>
      <c r="F133" s="55" t="s">
        <v>12</v>
      </c>
      <c r="G133" s="56">
        <v>3</v>
      </c>
      <c r="H133" s="57" t="s">
        <v>27</v>
      </c>
      <c r="L133" s="160">
        <v>6</v>
      </c>
    </row>
    <row r="134" spans="1:12">
      <c r="A134" s="52" t="s">
        <v>255</v>
      </c>
      <c r="B134" s="53" t="s">
        <v>38</v>
      </c>
      <c r="C134" s="53" t="s">
        <v>41</v>
      </c>
      <c r="D134" s="53" t="s">
        <v>17</v>
      </c>
      <c r="E134" s="54">
        <v>34402</v>
      </c>
      <c r="F134" s="55">
        <v>42925</v>
      </c>
      <c r="G134" s="56">
        <v>3</v>
      </c>
      <c r="H134" s="57" t="s">
        <v>18</v>
      </c>
      <c r="L134" s="160">
        <v>2</v>
      </c>
    </row>
    <row r="135" spans="1:12">
      <c r="A135" s="52" t="s">
        <v>256</v>
      </c>
      <c r="B135" s="53" t="s">
        <v>15</v>
      </c>
      <c r="C135" s="53" t="s">
        <v>16</v>
      </c>
      <c r="D135" s="53" t="s">
        <v>26</v>
      </c>
      <c r="E135" s="54">
        <v>38678</v>
      </c>
      <c r="F135" s="55">
        <v>42932</v>
      </c>
      <c r="G135" s="56">
        <v>3</v>
      </c>
      <c r="H135" s="57" t="s">
        <v>18</v>
      </c>
      <c r="L135" s="160">
        <v>4</v>
      </c>
    </row>
    <row r="136" spans="1:12">
      <c r="A136" s="52" t="s">
        <v>258</v>
      </c>
      <c r="B136" s="53" t="s">
        <v>40</v>
      </c>
      <c r="C136" s="53" t="s">
        <v>16</v>
      </c>
      <c r="D136" s="53" t="s">
        <v>17</v>
      </c>
      <c r="E136" s="54">
        <v>45758</v>
      </c>
      <c r="F136" s="55">
        <v>42939</v>
      </c>
      <c r="G136" s="56">
        <v>3</v>
      </c>
      <c r="H136" s="57" t="s">
        <v>12</v>
      </c>
      <c r="L136" s="160">
        <v>2</v>
      </c>
    </row>
    <row r="137" spans="1:12">
      <c r="A137" s="52" t="s">
        <v>259</v>
      </c>
      <c r="B137" s="53" t="s">
        <v>15</v>
      </c>
      <c r="C137" s="53" t="s">
        <v>41</v>
      </c>
      <c r="D137" s="53" t="s">
        <v>34</v>
      </c>
      <c r="E137" s="54">
        <v>62476</v>
      </c>
      <c r="F137" s="55">
        <v>42946</v>
      </c>
      <c r="G137" s="56">
        <v>1</v>
      </c>
      <c r="H137" s="57" t="s">
        <v>18</v>
      </c>
      <c r="L137" s="160">
        <v>6</v>
      </c>
    </row>
    <row r="138" spans="1:12">
      <c r="A138" s="52" t="s">
        <v>260</v>
      </c>
      <c r="B138" s="53" t="s">
        <v>12</v>
      </c>
      <c r="C138" s="53" t="s">
        <v>33</v>
      </c>
      <c r="D138" s="53" t="s">
        <v>46</v>
      </c>
      <c r="E138" s="54">
        <v>39280</v>
      </c>
      <c r="F138" s="55">
        <v>42953</v>
      </c>
      <c r="G138" s="56">
        <v>3</v>
      </c>
      <c r="H138" s="57" t="s">
        <v>35</v>
      </c>
      <c r="L138" s="160">
        <v>10</v>
      </c>
    </row>
    <row r="139" spans="1:12">
      <c r="A139" s="52" t="s">
        <v>261</v>
      </c>
      <c r="B139" s="53" t="s">
        <v>30</v>
      </c>
      <c r="C139" s="53" t="s">
        <v>10</v>
      </c>
      <c r="D139" s="53" t="s">
        <v>34</v>
      </c>
      <c r="E139" s="54">
        <v>60335</v>
      </c>
      <c r="F139" s="55">
        <v>42960</v>
      </c>
      <c r="G139" s="56">
        <v>4</v>
      </c>
      <c r="H139" s="57" t="s">
        <v>18</v>
      </c>
      <c r="L139" s="160">
        <v>6</v>
      </c>
    </row>
    <row r="140" spans="1:12">
      <c r="A140" s="52" t="s">
        <v>262</v>
      </c>
      <c r="B140" s="53" t="s">
        <v>40</v>
      </c>
      <c r="C140" s="53" t="s">
        <v>16</v>
      </c>
      <c r="D140" s="53" t="s">
        <v>17</v>
      </c>
      <c r="E140" s="54">
        <v>84968</v>
      </c>
      <c r="F140" s="55">
        <v>42967</v>
      </c>
      <c r="G140" s="56">
        <v>3.0909090909090908</v>
      </c>
      <c r="H140" s="57" t="s">
        <v>12</v>
      </c>
      <c r="L140" s="160">
        <v>2</v>
      </c>
    </row>
    <row r="141" spans="1:12">
      <c r="A141" s="52" t="s">
        <v>264</v>
      </c>
      <c r="B141" s="53" t="s">
        <v>40</v>
      </c>
      <c r="C141" s="53" t="s">
        <v>41</v>
      </c>
      <c r="D141" s="53" t="s">
        <v>63</v>
      </c>
      <c r="E141" s="54">
        <v>84750</v>
      </c>
      <c r="F141" s="55">
        <v>42974</v>
      </c>
      <c r="G141" s="56">
        <v>4</v>
      </c>
      <c r="H141" s="57" t="s">
        <v>35</v>
      </c>
      <c r="L141" s="160">
        <v>18</v>
      </c>
    </row>
    <row r="142" spans="1:12">
      <c r="A142" s="52" t="s">
        <v>265</v>
      </c>
      <c r="B142" s="53" t="s">
        <v>53</v>
      </c>
      <c r="C142" s="53" t="s">
        <v>33</v>
      </c>
      <c r="D142" s="53" t="s">
        <v>12</v>
      </c>
      <c r="E142" s="54">
        <v>73348</v>
      </c>
      <c r="F142" s="55">
        <v>42981</v>
      </c>
      <c r="G142" s="56">
        <v>2</v>
      </c>
      <c r="H142" s="57" t="s">
        <v>12</v>
      </c>
      <c r="L142" s="160">
        <v>1</v>
      </c>
    </row>
    <row r="143" spans="1:12">
      <c r="A143" s="52" t="s">
        <v>266</v>
      </c>
      <c r="B143" s="53" t="s">
        <v>40</v>
      </c>
      <c r="C143" s="53" t="s">
        <v>25</v>
      </c>
      <c r="D143" s="53" t="s">
        <v>26</v>
      </c>
      <c r="E143" s="54">
        <v>73697</v>
      </c>
      <c r="F143" s="55">
        <v>42988</v>
      </c>
      <c r="G143" s="56">
        <v>4</v>
      </c>
      <c r="H143" s="57" t="s">
        <v>18</v>
      </c>
      <c r="L143" s="160">
        <v>4</v>
      </c>
    </row>
    <row r="144" spans="1:12">
      <c r="A144" s="52" t="s">
        <v>267</v>
      </c>
      <c r="B144" s="53" t="s">
        <v>30</v>
      </c>
      <c r="C144" s="53" t="s">
        <v>41</v>
      </c>
      <c r="D144" s="53" t="s">
        <v>26</v>
      </c>
      <c r="E144" s="54">
        <v>66882</v>
      </c>
      <c r="F144" s="55">
        <v>42995</v>
      </c>
      <c r="G144" s="56">
        <v>5</v>
      </c>
      <c r="H144" s="57" t="s">
        <v>18</v>
      </c>
      <c r="L144" s="160">
        <v>4</v>
      </c>
    </row>
    <row r="145" spans="1:12">
      <c r="A145" s="52" t="s">
        <v>268</v>
      </c>
      <c r="B145" s="53" t="s">
        <v>21</v>
      </c>
      <c r="C145" s="67" t="s">
        <v>41</v>
      </c>
      <c r="D145" s="53" t="s">
        <v>12</v>
      </c>
      <c r="E145" s="54">
        <v>86775</v>
      </c>
      <c r="F145" s="55">
        <v>43002</v>
      </c>
      <c r="G145" s="56">
        <v>3</v>
      </c>
      <c r="H145" s="57" t="s">
        <v>18</v>
      </c>
      <c r="L145" s="160">
        <v>1</v>
      </c>
    </row>
    <row r="146" spans="1:12">
      <c r="A146" s="52" t="s">
        <v>269</v>
      </c>
      <c r="B146" s="53" t="s">
        <v>40</v>
      </c>
      <c r="C146" s="53" t="s">
        <v>25</v>
      </c>
      <c r="D146" s="53" t="s">
        <v>46</v>
      </c>
      <c r="E146" s="54">
        <v>91620</v>
      </c>
      <c r="F146" s="55">
        <v>43009</v>
      </c>
      <c r="G146" s="56">
        <v>2.6666666666666665</v>
      </c>
      <c r="H146" s="57" t="s">
        <v>12</v>
      </c>
      <c r="L146" s="160">
        <v>10</v>
      </c>
    </row>
    <row r="147" spans="1:12">
      <c r="A147" s="52" t="s">
        <v>271</v>
      </c>
      <c r="B147" s="67" t="s">
        <v>15</v>
      </c>
      <c r="C147" s="53" t="s">
        <v>12</v>
      </c>
      <c r="D147" s="53" t="s">
        <v>12</v>
      </c>
      <c r="E147" s="54">
        <v>94148</v>
      </c>
      <c r="F147" s="55">
        <v>43016</v>
      </c>
      <c r="G147" s="56">
        <v>2</v>
      </c>
      <c r="H147" s="57" t="s">
        <v>12</v>
      </c>
      <c r="L147" s="160">
        <v>1</v>
      </c>
    </row>
    <row r="148" spans="1:12">
      <c r="A148" s="52" t="s">
        <v>273</v>
      </c>
      <c r="B148" s="53" t="s">
        <v>38</v>
      </c>
      <c r="C148" s="53" t="s">
        <v>25</v>
      </c>
      <c r="D148" s="53" t="s">
        <v>63</v>
      </c>
      <c r="E148" s="54">
        <v>35627</v>
      </c>
      <c r="F148" s="55">
        <v>43023</v>
      </c>
      <c r="G148" s="56">
        <v>5</v>
      </c>
      <c r="H148" s="57" t="s">
        <v>35</v>
      </c>
      <c r="L148" s="160">
        <v>18</v>
      </c>
    </row>
    <row r="149" spans="1:12">
      <c r="A149" s="52" t="s">
        <v>274</v>
      </c>
      <c r="B149" s="53" t="s">
        <v>24</v>
      </c>
      <c r="C149" s="53" t="s">
        <v>41</v>
      </c>
      <c r="D149" s="53" t="s">
        <v>26</v>
      </c>
      <c r="E149" s="54">
        <v>57141</v>
      </c>
      <c r="F149" s="55">
        <v>43030</v>
      </c>
      <c r="G149" s="56">
        <v>2</v>
      </c>
      <c r="H149" s="57" t="s">
        <v>12</v>
      </c>
      <c r="L149" s="160">
        <v>4</v>
      </c>
    </row>
    <row r="150" spans="1:12">
      <c r="A150" s="52" t="s">
        <v>275</v>
      </c>
      <c r="B150" s="53" t="s">
        <v>53</v>
      </c>
      <c r="C150" s="53" t="s">
        <v>25</v>
      </c>
      <c r="D150" s="53" t="s">
        <v>63</v>
      </c>
      <c r="E150" s="54">
        <v>65270</v>
      </c>
      <c r="F150" s="55">
        <v>43037</v>
      </c>
      <c r="G150" s="56">
        <v>1</v>
      </c>
      <c r="H150" s="57" t="s">
        <v>12</v>
      </c>
      <c r="L150" s="160">
        <v>18</v>
      </c>
    </row>
    <row r="151" spans="1:12">
      <c r="A151" s="52" t="s">
        <v>277</v>
      </c>
      <c r="B151" s="67" t="s">
        <v>53</v>
      </c>
      <c r="C151" s="53" t="s">
        <v>12</v>
      </c>
      <c r="D151" s="53" t="s">
        <v>46</v>
      </c>
      <c r="E151" s="54">
        <v>67335</v>
      </c>
      <c r="F151" s="55">
        <v>43044</v>
      </c>
      <c r="G151" s="56">
        <v>1</v>
      </c>
      <c r="H151" s="57" t="s">
        <v>18</v>
      </c>
      <c r="L151" s="160">
        <v>10</v>
      </c>
    </row>
    <row r="152" spans="1:12">
      <c r="A152" s="52" t="s">
        <v>278</v>
      </c>
      <c r="B152" s="53" t="s">
        <v>38</v>
      </c>
      <c r="C152" s="53" t="s">
        <v>41</v>
      </c>
      <c r="D152" s="53" t="s">
        <v>34</v>
      </c>
      <c r="E152" s="54">
        <v>98475</v>
      </c>
      <c r="F152" s="55">
        <v>43051</v>
      </c>
      <c r="G152" s="56">
        <v>5</v>
      </c>
      <c r="H152" s="57" t="s">
        <v>18</v>
      </c>
      <c r="L152" s="160">
        <v>6</v>
      </c>
    </row>
  </sheetData>
  <autoFilter ref="A1:P152" xr:uid="{E09B10EE-E234-404C-BA88-2D45177CB9F0}">
    <filterColumn colId="0" showButton="0"/>
    <filterColumn colId="1" showButton="0"/>
    <filterColumn colId="2" showButton="0"/>
    <filterColumn colId="3" showButton="0"/>
    <filterColumn colId="4" showButton="0"/>
    <filterColumn colId="5" showButton="0"/>
    <filterColumn colId="6" showButton="0"/>
    <filterColumn colId="7" showButton="0"/>
    <filterColumn colId="8" showButton="0"/>
    <filterColumn colId="9" showButton="0"/>
    <filterColumn colId="10" showButton="0"/>
    <filterColumn colId="11" showButton="0"/>
    <filterColumn colId="12" showButton="0"/>
    <filterColumn colId="13" showButton="0"/>
    <filterColumn colId="14" showButton="0"/>
  </autoFilter>
  <mergeCells count="1">
    <mergeCell ref="A1:P1"/>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FCD007-4CCF-42F0-BA29-17DD1D25228D}">
  <dimension ref="A1:U170"/>
  <sheetViews>
    <sheetView workbookViewId="0">
      <selection activeCell="I14" sqref="I14"/>
    </sheetView>
  </sheetViews>
  <sheetFormatPr defaultRowHeight="14.4"/>
  <cols>
    <col min="2" max="2" width="12.44140625" bestFit="1" customWidth="1"/>
    <col min="3" max="3" width="23.109375" bestFit="1" customWidth="1"/>
    <col min="4" max="4" width="15.109375" bestFit="1" customWidth="1"/>
    <col min="5" max="5" width="10.33203125" customWidth="1"/>
    <col min="6" max="6" width="14.6640625" bestFit="1" customWidth="1"/>
    <col min="7" max="7" width="12" bestFit="1" customWidth="1"/>
  </cols>
  <sheetData>
    <row r="1" spans="1:21" ht="36" customHeight="1">
      <c r="A1" s="200" t="s">
        <v>375</v>
      </c>
      <c r="B1" s="200"/>
      <c r="C1" s="200"/>
      <c r="D1" s="200"/>
      <c r="E1" s="200"/>
      <c r="F1" s="200"/>
      <c r="G1" s="200"/>
      <c r="H1" s="200"/>
      <c r="I1" s="200"/>
      <c r="J1" s="200"/>
      <c r="K1" s="200"/>
      <c r="L1" s="200"/>
      <c r="M1" s="200"/>
      <c r="N1" s="200"/>
      <c r="O1" s="200"/>
      <c r="P1" s="200"/>
      <c r="Q1" s="200"/>
      <c r="R1" s="200"/>
      <c r="S1" s="200"/>
      <c r="T1" s="200"/>
      <c r="U1" s="200"/>
    </row>
    <row r="3" spans="1:21" ht="17.399999999999999">
      <c r="E3" s="201" t="s">
        <v>376</v>
      </c>
      <c r="F3" s="201"/>
      <c r="G3" s="201"/>
      <c r="H3" s="201"/>
      <c r="I3" s="201"/>
      <c r="J3" s="201"/>
      <c r="K3" s="201"/>
      <c r="L3" s="201"/>
      <c r="M3" s="201"/>
      <c r="N3" s="201"/>
      <c r="O3" s="201"/>
      <c r="P3" s="201"/>
      <c r="Q3" s="201"/>
      <c r="R3" s="201"/>
      <c r="S3" s="201"/>
    </row>
    <row r="6" spans="1:21" ht="28.2" customHeight="1">
      <c r="B6" s="169" t="s">
        <v>377</v>
      </c>
      <c r="C6" s="169" t="s">
        <v>379</v>
      </c>
      <c r="D6" s="169" t="s">
        <v>380</v>
      </c>
      <c r="F6" s="168" t="s">
        <v>377</v>
      </c>
      <c r="G6" s="168" t="s">
        <v>396</v>
      </c>
    </row>
    <row r="7" spans="1:21">
      <c r="B7" s="165" t="s">
        <v>10</v>
      </c>
      <c r="C7" s="63">
        <v>22</v>
      </c>
      <c r="D7" s="142">
        <v>1442640.5641928494</v>
      </c>
      <c r="F7" s="165" t="s">
        <v>384</v>
      </c>
      <c r="G7" s="206"/>
    </row>
    <row r="8" spans="1:21">
      <c r="B8" s="165" t="s">
        <v>16</v>
      </c>
      <c r="C8" s="63">
        <v>24</v>
      </c>
      <c r="D8" s="142">
        <v>1625443.8536585364</v>
      </c>
      <c r="F8" s="166" t="s">
        <v>54</v>
      </c>
      <c r="G8" s="206">
        <v>62158</v>
      </c>
    </row>
    <row r="9" spans="1:21">
      <c r="B9" s="165" t="s">
        <v>33</v>
      </c>
      <c r="C9" s="63">
        <v>25</v>
      </c>
      <c r="D9" s="142">
        <v>1651012.9285714286</v>
      </c>
      <c r="F9" s="166" t="s">
        <v>56</v>
      </c>
      <c r="G9" s="206">
        <v>59894</v>
      </c>
    </row>
    <row r="10" spans="1:21">
      <c r="B10" s="165" t="s">
        <v>41</v>
      </c>
      <c r="C10" s="63">
        <v>29</v>
      </c>
      <c r="D10" s="142">
        <v>1847562.9862403763</v>
      </c>
      <c r="F10" s="166" t="s">
        <v>58</v>
      </c>
      <c r="G10" s="206">
        <v>92443</v>
      </c>
    </row>
    <row r="11" spans="1:21">
      <c r="B11" s="165" t="s">
        <v>25</v>
      </c>
      <c r="C11" s="63">
        <v>26</v>
      </c>
      <c r="D11" s="142">
        <v>1771924</v>
      </c>
      <c r="F11" s="166" t="s">
        <v>60</v>
      </c>
      <c r="G11" s="206">
        <v>90271</v>
      </c>
    </row>
    <row r="12" spans="1:21">
      <c r="B12" s="165" t="s">
        <v>12</v>
      </c>
      <c r="C12" s="63">
        <v>24</v>
      </c>
      <c r="D12" s="142">
        <v>1597745</v>
      </c>
      <c r="F12" s="166" t="s">
        <v>151</v>
      </c>
      <c r="G12" s="206">
        <v>33468</v>
      </c>
    </row>
    <row r="13" spans="1:21">
      <c r="B13" s="165" t="s">
        <v>378</v>
      </c>
      <c r="C13" s="63">
        <v>150</v>
      </c>
      <c r="D13" s="142">
        <v>9936329.3326631915</v>
      </c>
      <c r="F13" s="166" t="s">
        <v>153</v>
      </c>
      <c r="G13" s="206">
        <v>96365</v>
      </c>
    </row>
    <row r="14" spans="1:21">
      <c r="F14" s="166" t="s">
        <v>155</v>
      </c>
      <c r="G14" s="206">
        <v>61942</v>
      </c>
    </row>
    <row r="15" spans="1:21">
      <c r="F15" s="166" t="s">
        <v>157</v>
      </c>
      <c r="G15" s="206">
        <v>41467</v>
      </c>
    </row>
    <row r="16" spans="1:21" ht="29.4" customHeight="1">
      <c r="B16" s="170" t="s">
        <v>377</v>
      </c>
      <c r="C16" s="171" t="s">
        <v>381</v>
      </c>
      <c r="D16" s="172" t="s">
        <v>383</v>
      </c>
      <c r="F16" s="166" t="s">
        <v>232</v>
      </c>
      <c r="G16" s="206">
        <v>73483</v>
      </c>
    </row>
    <row r="17" spans="2:7">
      <c r="B17" s="165" t="s">
        <v>21</v>
      </c>
      <c r="C17" s="207">
        <v>5</v>
      </c>
      <c r="D17" s="167">
        <v>63851.6</v>
      </c>
      <c r="F17" s="166" t="s">
        <v>234</v>
      </c>
      <c r="G17" s="206">
        <v>95032</v>
      </c>
    </row>
    <row r="18" spans="2:7">
      <c r="B18" s="165" t="s">
        <v>53</v>
      </c>
      <c r="C18" s="207">
        <v>5</v>
      </c>
      <c r="D18" s="167">
        <v>68991.320999922071</v>
      </c>
      <c r="F18" s="166" t="s">
        <v>236</v>
      </c>
      <c r="G18" s="206">
        <v>44358</v>
      </c>
    </row>
    <row r="19" spans="2:7">
      <c r="B19" s="165" t="s">
        <v>40</v>
      </c>
      <c r="C19" s="207">
        <v>5</v>
      </c>
      <c r="D19" s="167">
        <v>62990.879999999997</v>
      </c>
      <c r="F19" s="166" t="s">
        <v>239</v>
      </c>
      <c r="G19" s="206">
        <v>45676</v>
      </c>
    </row>
    <row r="20" spans="2:7">
      <c r="B20" s="165" t="s">
        <v>15</v>
      </c>
      <c r="C20" s="207">
        <v>5</v>
      </c>
      <c r="D20" s="167">
        <v>61352.938131313131</v>
      </c>
      <c r="F20" s="165" t="s">
        <v>385</v>
      </c>
      <c r="G20" s="206"/>
    </row>
    <row r="21" spans="2:7">
      <c r="B21" s="165" t="s">
        <v>30</v>
      </c>
      <c r="C21" s="207">
        <v>5</v>
      </c>
      <c r="D21" s="167">
        <v>66309.990243902444</v>
      </c>
      <c r="F21" s="166" t="s">
        <v>91</v>
      </c>
      <c r="G21" s="206">
        <v>92299</v>
      </c>
    </row>
    <row r="22" spans="2:7">
      <c r="B22" s="165" t="s">
        <v>24</v>
      </c>
      <c r="C22" s="207">
        <v>5</v>
      </c>
      <c r="D22" s="167">
        <v>70886.230769230766</v>
      </c>
      <c r="F22" s="166" t="s">
        <v>93</v>
      </c>
      <c r="G22" s="206">
        <v>95586</v>
      </c>
    </row>
    <row r="23" spans="2:7">
      <c r="B23" s="165" t="s">
        <v>38</v>
      </c>
      <c r="C23" s="207">
        <v>5</v>
      </c>
      <c r="D23" s="167">
        <v>69772.681818181823</v>
      </c>
      <c r="F23" s="166" t="s">
        <v>95</v>
      </c>
      <c r="G23" s="206">
        <v>95367</v>
      </c>
    </row>
    <row r="24" spans="2:7">
      <c r="B24" s="165" t="s">
        <v>12</v>
      </c>
      <c r="C24" s="207">
        <v>5</v>
      </c>
      <c r="D24" s="167">
        <v>71206.722285477575</v>
      </c>
      <c r="F24" s="166" t="s">
        <v>97</v>
      </c>
      <c r="G24" s="206">
        <v>79549</v>
      </c>
    </row>
    <row r="25" spans="2:7">
      <c r="B25" s="165" t="s">
        <v>378</v>
      </c>
      <c r="C25" s="207">
        <v>5</v>
      </c>
      <c r="D25" s="167">
        <v>66242.195551087949</v>
      </c>
      <c r="F25" s="166" t="s">
        <v>180</v>
      </c>
      <c r="G25" s="206">
        <v>99621</v>
      </c>
    </row>
    <row r="26" spans="2:7">
      <c r="F26" s="166" t="s">
        <v>182</v>
      </c>
      <c r="G26" s="206">
        <v>44682</v>
      </c>
    </row>
    <row r="27" spans="2:7">
      <c r="F27" s="166" t="s">
        <v>183</v>
      </c>
      <c r="G27" s="206">
        <v>35163</v>
      </c>
    </row>
    <row r="28" spans="2:7">
      <c r="F28" s="166" t="s">
        <v>185</v>
      </c>
      <c r="G28" s="206">
        <v>33483</v>
      </c>
    </row>
    <row r="29" spans="2:7">
      <c r="F29" s="166" t="s">
        <v>260</v>
      </c>
      <c r="G29" s="206">
        <v>39280</v>
      </c>
    </row>
    <row r="30" spans="2:7">
      <c r="F30" s="166" t="s">
        <v>261</v>
      </c>
      <c r="G30" s="206">
        <v>60335</v>
      </c>
    </row>
    <row r="31" spans="2:7">
      <c r="F31" s="166" t="s">
        <v>262</v>
      </c>
      <c r="G31" s="206">
        <v>84968</v>
      </c>
    </row>
    <row r="32" spans="2:7">
      <c r="F32" s="166" t="s">
        <v>264</v>
      </c>
      <c r="G32" s="206">
        <v>84750</v>
      </c>
    </row>
    <row r="33" spans="6:7">
      <c r="F33" s="165" t="s">
        <v>386</v>
      </c>
      <c r="G33" s="206"/>
    </row>
    <row r="34" spans="6:7">
      <c r="F34" s="166" t="s">
        <v>123</v>
      </c>
      <c r="G34" s="206">
        <v>66513</v>
      </c>
    </row>
    <row r="35" spans="6:7">
      <c r="F35" s="166" t="s">
        <v>124</v>
      </c>
      <c r="G35" s="206">
        <v>78720</v>
      </c>
    </row>
    <row r="36" spans="6:7">
      <c r="F36" s="166" t="s">
        <v>127</v>
      </c>
      <c r="G36" s="206">
        <v>39423</v>
      </c>
    </row>
    <row r="37" spans="6:7">
      <c r="F37" s="166" t="s">
        <v>208</v>
      </c>
      <c r="G37" s="206">
        <v>63370.106382978724</v>
      </c>
    </row>
    <row r="38" spans="6:7">
      <c r="F38" s="166" t="s">
        <v>210</v>
      </c>
      <c r="G38" s="206">
        <v>66503</v>
      </c>
    </row>
    <row r="39" spans="6:7">
      <c r="F39" s="166" t="s">
        <v>211</v>
      </c>
      <c r="G39" s="206">
        <v>42096</v>
      </c>
    </row>
    <row r="40" spans="6:7">
      <c r="F40" s="166" t="s">
        <v>213</v>
      </c>
      <c r="G40" s="206">
        <v>79145</v>
      </c>
    </row>
    <row r="41" spans="6:7">
      <c r="F41" s="165" t="s">
        <v>387</v>
      </c>
      <c r="G41" s="206"/>
    </row>
    <row r="42" spans="6:7">
      <c r="F42" s="166" t="s">
        <v>29</v>
      </c>
      <c r="G42" s="206">
        <v>64120</v>
      </c>
    </row>
    <row r="43" spans="6:7">
      <c r="F43" s="166" t="s">
        <v>32</v>
      </c>
      <c r="G43" s="206">
        <v>78421</v>
      </c>
    </row>
    <row r="44" spans="6:7">
      <c r="F44" s="166" t="s">
        <v>37</v>
      </c>
      <c r="G44" s="206">
        <v>67721</v>
      </c>
    </row>
    <row r="45" spans="6:7">
      <c r="F45" s="166" t="s">
        <v>39</v>
      </c>
      <c r="G45" s="206">
        <v>35364</v>
      </c>
    </row>
    <row r="46" spans="6:7">
      <c r="F46" s="166" t="s">
        <v>138</v>
      </c>
      <c r="G46" s="206">
        <v>96949</v>
      </c>
    </row>
    <row r="47" spans="6:7">
      <c r="F47" s="166" t="s">
        <v>139</v>
      </c>
      <c r="G47" s="206">
        <v>84924</v>
      </c>
    </row>
    <row r="48" spans="6:7">
      <c r="F48" s="166" t="s">
        <v>141</v>
      </c>
      <c r="G48" s="206">
        <v>82033</v>
      </c>
    </row>
    <row r="49" spans="6:7">
      <c r="F49" s="166" t="s">
        <v>221</v>
      </c>
      <c r="G49" s="206">
        <v>88850</v>
      </c>
    </row>
    <row r="50" spans="6:7">
      <c r="F50" s="166" t="s">
        <v>225</v>
      </c>
      <c r="G50" s="206">
        <v>34306</v>
      </c>
    </row>
    <row r="51" spans="6:7">
      <c r="F51" s="166" t="s">
        <v>226</v>
      </c>
      <c r="G51" s="206">
        <v>78330</v>
      </c>
    </row>
    <row r="52" spans="6:7">
      <c r="F52" s="165" t="s">
        <v>388</v>
      </c>
      <c r="G52" s="206"/>
    </row>
    <row r="53" spans="6:7">
      <c r="F53" s="166" t="s">
        <v>14</v>
      </c>
      <c r="G53" s="206">
        <v>54255</v>
      </c>
    </row>
    <row r="54" spans="6:7">
      <c r="F54" s="166" t="s">
        <v>20</v>
      </c>
      <c r="G54" s="206">
        <v>63184</v>
      </c>
    </row>
    <row r="55" spans="6:7">
      <c r="F55" s="166" t="s">
        <v>23</v>
      </c>
      <c r="G55" s="206">
        <v>94406</v>
      </c>
    </row>
    <row r="56" spans="6:7">
      <c r="F56" s="166" t="s">
        <v>129</v>
      </c>
      <c r="G56" s="206">
        <v>30280</v>
      </c>
    </row>
    <row r="57" spans="6:7">
      <c r="F57" s="166" t="s">
        <v>131</v>
      </c>
      <c r="G57" s="206">
        <v>33352</v>
      </c>
    </row>
    <row r="58" spans="6:7">
      <c r="F58" s="166" t="s">
        <v>132</v>
      </c>
      <c r="G58" s="206">
        <v>75633</v>
      </c>
    </row>
    <row r="59" spans="6:7">
      <c r="F59" s="166" t="s">
        <v>134</v>
      </c>
      <c r="G59" s="206">
        <v>74815</v>
      </c>
    </row>
    <row r="60" spans="6:7">
      <c r="F60" s="166" t="s">
        <v>136</v>
      </c>
      <c r="G60" s="206">
        <v>60011</v>
      </c>
    </row>
    <row r="61" spans="6:7">
      <c r="F61" s="166" t="s">
        <v>214</v>
      </c>
      <c r="G61" s="206">
        <v>61556</v>
      </c>
    </row>
    <row r="62" spans="6:7">
      <c r="F62" s="166" t="s">
        <v>215</v>
      </c>
      <c r="G62" s="206">
        <v>87963</v>
      </c>
    </row>
    <row r="63" spans="6:7">
      <c r="F63" s="166" t="s">
        <v>216</v>
      </c>
      <c r="G63" s="206">
        <v>48325</v>
      </c>
    </row>
    <row r="64" spans="6:7">
      <c r="F64" s="166" t="s">
        <v>218</v>
      </c>
      <c r="G64" s="206">
        <v>86412</v>
      </c>
    </row>
    <row r="65" spans="6:7">
      <c r="F65" s="166" t="s">
        <v>219</v>
      </c>
      <c r="G65" s="206">
        <v>66761</v>
      </c>
    </row>
    <row r="66" spans="6:7">
      <c r="F66" s="165" t="s">
        <v>389</v>
      </c>
      <c r="G66" s="206"/>
    </row>
    <row r="67" spans="6:7">
      <c r="F67" s="166" t="s">
        <v>81</v>
      </c>
      <c r="G67" s="206">
        <v>76518</v>
      </c>
    </row>
    <row r="68" spans="6:7">
      <c r="F68" s="166" t="s">
        <v>83</v>
      </c>
      <c r="G68" s="206">
        <v>41448</v>
      </c>
    </row>
    <row r="69" spans="6:7">
      <c r="F69" s="166" t="s">
        <v>85</v>
      </c>
      <c r="G69" s="206">
        <v>49282</v>
      </c>
    </row>
    <row r="70" spans="6:7">
      <c r="F70" s="166" t="s">
        <v>87</v>
      </c>
      <c r="G70" s="206">
        <v>92959</v>
      </c>
    </row>
    <row r="71" spans="6:7">
      <c r="F71" s="166" t="s">
        <v>171</v>
      </c>
      <c r="G71" s="206">
        <v>78245</v>
      </c>
    </row>
    <row r="72" spans="6:7">
      <c r="F72" s="166" t="s">
        <v>173</v>
      </c>
      <c r="G72" s="206">
        <v>66079</v>
      </c>
    </row>
    <row r="73" spans="6:7">
      <c r="F73" s="166" t="s">
        <v>176</v>
      </c>
      <c r="G73" s="206">
        <v>95621</v>
      </c>
    </row>
    <row r="74" spans="6:7">
      <c r="F74" s="166" t="s">
        <v>178</v>
      </c>
      <c r="G74" s="206">
        <v>42262</v>
      </c>
    </row>
    <row r="75" spans="6:7">
      <c r="F75" s="166" t="s">
        <v>255</v>
      </c>
      <c r="G75" s="206">
        <v>34402</v>
      </c>
    </row>
    <row r="76" spans="6:7">
      <c r="F76" s="166" t="s">
        <v>256</v>
      </c>
      <c r="G76" s="206">
        <v>38678</v>
      </c>
    </row>
    <row r="77" spans="6:7">
      <c r="F77" s="166" t="s">
        <v>258</v>
      </c>
      <c r="G77" s="206">
        <v>45758</v>
      </c>
    </row>
    <row r="78" spans="6:7">
      <c r="F78" s="166" t="s">
        <v>259</v>
      </c>
      <c r="G78" s="206">
        <v>62476</v>
      </c>
    </row>
    <row r="79" spans="6:7">
      <c r="F79" s="165" t="s">
        <v>390</v>
      </c>
      <c r="G79" s="206"/>
    </row>
    <row r="80" spans="6:7">
      <c r="F80" s="166" t="s">
        <v>73</v>
      </c>
      <c r="G80" s="206">
        <v>38333</v>
      </c>
    </row>
    <row r="81" spans="6:7">
      <c r="F81" s="166" t="s">
        <v>75</v>
      </c>
      <c r="G81" s="206">
        <v>36515</v>
      </c>
    </row>
    <row r="82" spans="6:7">
      <c r="F82" s="166" t="s">
        <v>77</v>
      </c>
      <c r="G82" s="206">
        <v>91005</v>
      </c>
    </row>
    <row r="83" spans="6:7">
      <c r="F83" s="166" t="s">
        <v>79</v>
      </c>
      <c r="G83" s="206">
        <v>52272</v>
      </c>
    </row>
    <row r="84" spans="6:7">
      <c r="F84" s="166" t="s">
        <v>165</v>
      </c>
      <c r="G84" s="206">
        <v>41243</v>
      </c>
    </row>
    <row r="85" spans="6:7">
      <c r="F85" s="166" t="s">
        <v>166</v>
      </c>
      <c r="G85" s="206">
        <v>96142</v>
      </c>
    </row>
    <row r="86" spans="6:7">
      <c r="F86" s="166" t="s">
        <v>168</v>
      </c>
      <c r="G86" s="206">
        <v>94301</v>
      </c>
    </row>
    <row r="87" spans="6:7">
      <c r="F87" s="166" t="s">
        <v>169</v>
      </c>
      <c r="G87" s="206">
        <v>69166</v>
      </c>
    </row>
    <row r="88" spans="6:7">
      <c r="F88" s="166" t="s">
        <v>248</v>
      </c>
      <c r="G88" s="206">
        <v>71494</v>
      </c>
    </row>
    <row r="89" spans="6:7">
      <c r="F89" s="166" t="s">
        <v>250</v>
      </c>
      <c r="G89" s="206">
        <v>91953</v>
      </c>
    </row>
    <row r="90" spans="6:7">
      <c r="F90" s="166" t="s">
        <v>251</v>
      </c>
      <c r="G90" s="206">
        <v>30402</v>
      </c>
    </row>
    <row r="91" spans="6:7">
      <c r="F91" s="166" t="s">
        <v>253</v>
      </c>
      <c r="G91" s="206">
        <v>62994</v>
      </c>
    </row>
    <row r="92" spans="6:7">
      <c r="F92" s="165" t="s">
        <v>391</v>
      </c>
      <c r="G92" s="206"/>
    </row>
    <row r="93" spans="6:7">
      <c r="F93" s="166" t="s">
        <v>43</v>
      </c>
      <c r="G93" s="206">
        <v>97881</v>
      </c>
    </row>
    <row r="94" spans="6:7">
      <c r="F94" s="166" t="s">
        <v>45</v>
      </c>
      <c r="G94" s="206">
        <v>91846</v>
      </c>
    </row>
    <row r="95" spans="6:7">
      <c r="F95" s="166" t="s">
        <v>48</v>
      </c>
      <c r="G95" s="206">
        <v>64247</v>
      </c>
    </row>
    <row r="96" spans="6:7">
      <c r="F96" s="166" t="s">
        <v>50</v>
      </c>
      <c r="G96" s="206">
        <v>91180</v>
      </c>
    </row>
    <row r="97" spans="6:7">
      <c r="F97" s="166" t="s">
        <v>52</v>
      </c>
      <c r="G97" s="206">
        <v>96418</v>
      </c>
    </row>
    <row r="98" spans="6:7">
      <c r="F98" s="166" t="s">
        <v>144</v>
      </c>
      <c r="G98" s="206">
        <v>31499</v>
      </c>
    </row>
    <row r="99" spans="6:7">
      <c r="F99" s="166" t="s">
        <v>145</v>
      </c>
      <c r="G99" s="206">
        <v>97981</v>
      </c>
    </row>
    <row r="100" spans="6:7">
      <c r="F100" s="166" t="s">
        <v>147</v>
      </c>
      <c r="G100" s="206">
        <v>36541</v>
      </c>
    </row>
    <row r="101" spans="6:7">
      <c r="F101" s="166" t="s">
        <v>149</v>
      </c>
      <c r="G101" s="206">
        <v>84737</v>
      </c>
    </row>
    <row r="102" spans="6:7">
      <c r="F102" s="166" t="s">
        <v>227</v>
      </c>
      <c r="G102" s="206">
        <v>47653</v>
      </c>
    </row>
    <row r="103" spans="6:7">
      <c r="F103" s="166" t="s">
        <v>229</v>
      </c>
      <c r="G103" s="206">
        <v>44627</v>
      </c>
    </row>
    <row r="104" spans="6:7">
      <c r="F104" s="166" t="s">
        <v>230</v>
      </c>
      <c r="G104" s="206">
        <v>92343</v>
      </c>
    </row>
    <row r="105" spans="6:7">
      <c r="F105" s="166" t="s">
        <v>231</v>
      </c>
      <c r="G105" s="206">
        <v>38837</v>
      </c>
    </row>
    <row r="106" spans="6:7">
      <c r="F106" s="165" t="s">
        <v>392</v>
      </c>
      <c r="G106" s="206"/>
    </row>
    <row r="107" spans="6:7">
      <c r="F107" s="166" t="s">
        <v>62</v>
      </c>
      <c r="G107" s="206">
        <v>41341</v>
      </c>
    </row>
    <row r="108" spans="6:7">
      <c r="F108" s="166" t="s">
        <v>65</v>
      </c>
      <c r="G108" s="206">
        <v>73602</v>
      </c>
    </row>
    <row r="109" spans="6:7">
      <c r="F109" s="166" t="s">
        <v>67</v>
      </c>
      <c r="G109" s="206">
        <v>67531</v>
      </c>
    </row>
    <row r="110" spans="6:7">
      <c r="F110" s="166" t="s">
        <v>69</v>
      </c>
      <c r="G110" s="206">
        <v>65248.853658536587</v>
      </c>
    </row>
    <row r="111" spans="6:7">
      <c r="F111" s="166" t="s">
        <v>71</v>
      </c>
      <c r="G111" s="206">
        <v>98922</v>
      </c>
    </row>
    <row r="112" spans="6:7">
      <c r="F112" s="166" t="s">
        <v>158</v>
      </c>
      <c r="G112" s="206">
        <v>77096</v>
      </c>
    </row>
    <row r="113" spans="6:7">
      <c r="F113" s="166" t="s">
        <v>160</v>
      </c>
      <c r="G113" s="206">
        <v>69952</v>
      </c>
    </row>
    <row r="114" spans="6:7">
      <c r="F114" s="166" t="s">
        <v>161</v>
      </c>
      <c r="G114" s="206">
        <v>85065</v>
      </c>
    </row>
    <row r="115" spans="6:7">
      <c r="F115" s="166" t="s">
        <v>163</v>
      </c>
      <c r="G115" s="206">
        <v>56512</v>
      </c>
    </row>
    <row r="116" spans="6:7">
      <c r="F116" s="166" t="s">
        <v>164</v>
      </c>
      <c r="G116" s="206">
        <v>91101</v>
      </c>
    </row>
    <row r="117" spans="6:7">
      <c r="F117" s="166" t="s">
        <v>241</v>
      </c>
      <c r="G117" s="206">
        <v>52036</v>
      </c>
    </row>
    <row r="118" spans="6:7">
      <c r="F118" s="166" t="s">
        <v>243</v>
      </c>
      <c r="G118" s="206">
        <v>30357</v>
      </c>
    </row>
    <row r="119" spans="6:7">
      <c r="F119" s="166" t="s">
        <v>244</v>
      </c>
      <c r="G119" s="206">
        <v>60034</v>
      </c>
    </row>
    <row r="120" spans="6:7">
      <c r="F120" s="166" t="s">
        <v>246</v>
      </c>
      <c r="G120" s="206">
        <v>90019</v>
      </c>
    </row>
    <row r="121" spans="6:7">
      <c r="F121" s="165" t="s">
        <v>393</v>
      </c>
      <c r="G121" s="206"/>
    </row>
    <row r="122" spans="6:7">
      <c r="F122" s="166" t="s">
        <v>114</v>
      </c>
      <c r="G122" s="206">
        <v>35326</v>
      </c>
    </row>
    <row r="123" spans="6:7">
      <c r="F123" s="166" t="s">
        <v>116</v>
      </c>
      <c r="G123" s="206">
        <v>81610</v>
      </c>
    </row>
    <row r="124" spans="6:7">
      <c r="F124" s="166" t="s">
        <v>118</v>
      </c>
      <c r="G124" s="206">
        <v>58962</v>
      </c>
    </row>
    <row r="125" spans="6:7">
      <c r="F125" s="166" t="s">
        <v>119</v>
      </c>
      <c r="G125" s="206">
        <v>92701</v>
      </c>
    </row>
    <row r="126" spans="6:7">
      <c r="F126" s="166" t="s">
        <v>121</v>
      </c>
      <c r="G126" s="206">
        <v>58245</v>
      </c>
    </row>
    <row r="127" spans="6:7">
      <c r="F127" s="166" t="s">
        <v>200</v>
      </c>
      <c r="G127" s="206">
        <v>72939</v>
      </c>
    </row>
    <row r="128" spans="6:7">
      <c r="F128" s="166" t="s">
        <v>202</v>
      </c>
      <c r="G128" s="206">
        <v>89333</v>
      </c>
    </row>
    <row r="129" spans="6:7">
      <c r="F129" s="166" t="s">
        <v>204</v>
      </c>
      <c r="G129" s="206">
        <v>70470</v>
      </c>
    </row>
    <row r="130" spans="6:7">
      <c r="F130" s="166" t="s">
        <v>206</v>
      </c>
      <c r="G130" s="206">
        <v>70096</v>
      </c>
    </row>
    <row r="131" spans="6:7">
      <c r="F131" s="166" t="s">
        <v>277</v>
      </c>
      <c r="G131" s="206">
        <v>67335</v>
      </c>
    </row>
    <row r="132" spans="6:7">
      <c r="F132" s="166" t="s">
        <v>278</v>
      </c>
      <c r="G132" s="206">
        <v>98475</v>
      </c>
    </row>
    <row r="133" spans="6:7">
      <c r="F133" s="165" t="s">
        <v>394</v>
      </c>
      <c r="G133" s="206"/>
    </row>
    <row r="134" spans="6:7">
      <c r="F134" s="166" t="s">
        <v>106</v>
      </c>
      <c r="G134" s="206">
        <v>48224</v>
      </c>
    </row>
    <row r="135" spans="6:7">
      <c r="F135" s="166" t="s">
        <v>110</v>
      </c>
      <c r="G135" s="206">
        <v>33956</v>
      </c>
    </row>
    <row r="136" spans="6:7">
      <c r="F136" s="166" t="s">
        <v>112</v>
      </c>
      <c r="G136" s="206">
        <v>64913</v>
      </c>
    </row>
    <row r="137" spans="6:7">
      <c r="F137" s="166" t="s">
        <v>192</v>
      </c>
      <c r="G137" s="206">
        <v>69420</v>
      </c>
    </row>
    <row r="138" spans="6:7">
      <c r="F138" s="166" t="s">
        <v>193</v>
      </c>
      <c r="G138" s="206">
        <v>80588</v>
      </c>
    </row>
    <row r="139" spans="6:7">
      <c r="F139" s="166" t="s">
        <v>194</v>
      </c>
      <c r="G139" s="206">
        <v>76238</v>
      </c>
    </row>
    <row r="140" spans="6:7">
      <c r="F140" s="166" t="s">
        <v>196</v>
      </c>
      <c r="G140" s="206">
        <v>33264</v>
      </c>
    </row>
    <row r="141" spans="6:7">
      <c r="F141" s="166" t="s">
        <v>198</v>
      </c>
      <c r="G141" s="206">
        <v>96101</v>
      </c>
    </row>
    <row r="142" spans="6:7">
      <c r="F142" s="166" t="s">
        <v>269</v>
      </c>
      <c r="G142" s="206">
        <v>91620</v>
      </c>
    </row>
    <row r="143" spans="6:7">
      <c r="F143" s="166" t="s">
        <v>271</v>
      </c>
      <c r="G143" s="206">
        <v>94148</v>
      </c>
    </row>
    <row r="144" spans="6:7">
      <c r="F144" s="166" t="s">
        <v>273</v>
      </c>
      <c r="G144" s="206">
        <v>35627</v>
      </c>
    </row>
    <row r="145" spans="6:7">
      <c r="F145" s="166" t="s">
        <v>274</v>
      </c>
      <c r="G145" s="206">
        <v>57141</v>
      </c>
    </row>
    <row r="146" spans="6:7">
      <c r="F146" s="166" t="s">
        <v>275</v>
      </c>
      <c r="G146" s="206">
        <v>65270</v>
      </c>
    </row>
    <row r="147" spans="6:7">
      <c r="F147" s="165" t="s">
        <v>395</v>
      </c>
      <c r="G147" s="206"/>
    </row>
    <row r="148" spans="6:7">
      <c r="F148" s="166" t="s">
        <v>99</v>
      </c>
      <c r="G148" s="206">
        <v>54463</v>
      </c>
    </row>
    <row r="149" spans="6:7">
      <c r="F149" s="166" t="s">
        <v>100</v>
      </c>
      <c r="G149" s="206">
        <v>89781</v>
      </c>
    </row>
    <row r="150" spans="6:7">
      <c r="F150" s="166" t="s">
        <v>102</v>
      </c>
      <c r="G150" s="206">
        <v>64796</v>
      </c>
    </row>
    <row r="151" spans="6:7">
      <c r="F151" s="166" t="s">
        <v>104</v>
      </c>
      <c r="G151" s="206">
        <v>52093</v>
      </c>
    </row>
    <row r="152" spans="6:7">
      <c r="F152" s="166" t="s">
        <v>187</v>
      </c>
      <c r="G152" s="206">
        <v>55303</v>
      </c>
    </row>
    <row r="153" spans="6:7">
      <c r="F153" s="166" t="s">
        <v>188</v>
      </c>
      <c r="G153" s="206">
        <v>63434</v>
      </c>
    </row>
    <row r="154" spans="6:7">
      <c r="F154" s="166" t="s">
        <v>190</v>
      </c>
      <c r="G154" s="206">
        <v>38830</v>
      </c>
    </row>
    <row r="155" spans="6:7">
      <c r="F155" s="166" t="s">
        <v>191</v>
      </c>
      <c r="G155" s="206">
        <v>50741</v>
      </c>
    </row>
    <row r="156" spans="6:7">
      <c r="F156" s="166" t="s">
        <v>265</v>
      </c>
      <c r="G156" s="206">
        <v>73348</v>
      </c>
    </row>
    <row r="157" spans="6:7">
      <c r="F157" s="166" t="s">
        <v>266</v>
      </c>
      <c r="G157" s="206">
        <v>73697</v>
      </c>
    </row>
    <row r="158" spans="6:7">
      <c r="F158" s="166" t="s">
        <v>267</v>
      </c>
      <c r="G158" s="206">
        <v>66882</v>
      </c>
    </row>
    <row r="159" spans="6:7">
      <c r="F159" s="166" t="s">
        <v>268</v>
      </c>
      <c r="G159" s="206">
        <v>86775</v>
      </c>
    </row>
    <row r="160" spans="6:7">
      <c r="F160" s="165" t="s">
        <v>12</v>
      </c>
      <c r="G160" s="206"/>
    </row>
    <row r="161" spans="6:7">
      <c r="F161" s="166" t="s">
        <v>9</v>
      </c>
      <c r="G161" s="206">
        <v>66280.929577464791</v>
      </c>
    </row>
    <row r="162" spans="6:7">
      <c r="F162" s="166" t="s">
        <v>89</v>
      </c>
      <c r="G162" s="206">
        <v>92259</v>
      </c>
    </row>
    <row r="163" spans="6:7">
      <c r="F163" s="166" t="s">
        <v>108</v>
      </c>
      <c r="G163" s="206">
        <v>64268.634615384617</v>
      </c>
    </row>
    <row r="164" spans="6:7">
      <c r="F164" s="166" t="s">
        <v>125</v>
      </c>
      <c r="G164" s="206">
        <v>30686</v>
      </c>
    </row>
    <row r="165" spans="6:7">
      <c r="F165" s="166" t="s">
        <v>142</v>
      </c>
      <c r="G165" s="206">
        <v>64763.364705882355</v>
      </c>
    </row>
    <row r="166" spans="6:7">
      <c r="F166" s="166" t="s">
        <v>175</v>
      </c>
      <c r="G166" s="206">
        <v>63575.515151515152</v>
      </c>
    </row>
    <row r="167" spans="6:7">
      <c r="F167" s="166" t="s">
        <v>223</v>
      </c>
      <c r="G167" s="206">
        <v>31293</v>
      </c>
    </row>
    <row r="168" spans="6:7">
      <c r="F168" s="166" t="s">
        <v>237</v>
      </c>
      <c r="G168" s="206">
        <v>63232.928571428572</v>
      </c>
    </row>
    <row r="169" spans="6:7">
      <c r="F169" s="166" t="s">
        <v>254</v>
      </c>
      <c r="G169" s="206">
        <v>48289</v>
      </c>
    </row>
    <row r="170" spans="6:7">
      <c r="F170" s="165" t="s">
        <v>378</v>
      </c>
      <c r="G170" s="206">
        <v>30280</v>
      </c>
    </row>
  </sheetData>
  <mergeCells count="2">
    <mergeCell ref="A1:U1"/>
    <mergeCell ref="E3:S3"/>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D526C0-4BF2-44AA-98E4-3F8B3BE50893}">
  <dimension ref="A1:Q12"/>
  <sheetViews>
    <sheetView workbookViewId="0">
      <selection activeCell="H33" sqref="H33"/>
    </sheetView>
  </sheetViews>
  <sheetFormatPr defaultRowHeight="14.4"/>
  <cols>
    <col min="1" max="1" width="12.44140625" bestFit="1" customWidth="1"/>
    <col min="2" max="2" width="12.21875" bestFit="1" customWidth="1"/>
    <col min="3" max="4" width="13.21875" bestFit="1" customWidth="1"/>
  </cols>
  <sheetData>
    <row r="1" spans="1:17" ht="21">
      <c r="A1" s="202" t="s">
        <v>397</v>
      </c>
      <c r="B1" s="202"/>
      <c r="C1" s="202"/>
      <c r="D1" s="202"/>
      <c r="E1" s="202"/>
      <c r="F1" s="202"/>
      <c r="G1" s="202"/>
      <c r="H1" s="202"/>
      <c r="I1" s="202"/>
      <c r="J1" s="202"/>
      <c r="K1" s="202"/>
      <c r="L1" s="202"/>
      <c r="M1" s="202"/>
      <c r="N1" s="202"/>
      <c r="O1" s="202"/>
      <c r="P1" s="202"/>
      <c r="Q1" s="202"/>
    </row>
    <row r="3" spans="1:17" ht="19.8" customHeight="1">
      <c r="A3" s="164" t="s">
        <v>377</v>
      </c>
      <c r="B3" t="s">
        <v>380</v>
      </c>
      <c r="C3" s="51" t="s">
        <v>382</v>
      </c>
    </row>
    <row r="4" spans="1:17">
      <c r="A4" s="5" t="s">
        <v>10</v>
      </c>
      <c r="B4" s="105">
        <v>1442640.5641928494</v>
      </c>
      <c r="C4" s="205">
        <v>22</v>
      </c>
      <c r="E4" s="173" t="s">
        <v>398</v>
      </c>
    </row>
    <row r="5" spans="1:17">
      <c r="A5" s="5" t="s">
        <v>16</v>
      </c>
      <c r="B5" s="105">
        <v>1625443.8536585364</v>
      </c>
      <c r="C5" s="205">
        <v>24</v>
      </c>
    </row>
    <row r="6" spans="1:17">
      <c r="A6" s="5" t="s">
        <v>33</v>
      </c>
      <c r="B6" s="105">
        <v>1651012.9285714286</v>
      </c>
      <c r="C6" s="205">
        <v>25</v>
      </c>
    </row>
    <row r="7" spans="1:17">
      <c r="A7" s="5" t="s">
        <v>41</v>
      </c>
      <c r="B7" s="105">
        <v>1946037.9862403763</v>
      </c>
      <c r="C7" s="205">
        <v>30</v>
      </c>
    </row>
    <row r="8" spans="1:17">
      <c r="A8" s="5" t="s">
        <v>25</v>
      </c>
      <c r="B8" s="105">
        <v>1771924</v>
      </c>
      <c r="C8" s="205">
        <v>26</v>
      </c>
    </row>
    <row r="9" spans="1:17">
      <c r="A9" s="5" t="s">
        <v>12</v>
      </c>
      <c r="B9" s="105">
        <v>1597745</v>
      </c>
      <c r="C9" s="205">
        <v>24</v>
      </c>
    </row>
    <row r="10" spans="1:17">
      <c r="A10" s="5" t="s">
        <v>378</v>
      </c>
      <c r="B10" s="204">
        <v>10034804.332663191</v>
      </c>
      <c r="C10" s="205">
        <v>151</v>
      </c>
    </row>
    <row r="12" spans="1:17" ht="28.8" customHeight="1">
      <c r="A12" s="173"/>
    </row>
  </sheetData>
  <mergeCells count="1">
    <mergeCell ref="A1:Q1"/>
  </mergeCells>
  <pageMargins left="0.7" right="0.7" top="0.75" bottom="0.75" header="0.3" footer="0.3"/>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48B5B7-433F-4953-8CFD-FF0F16A52E78}">
  <dimension ref="B1:P45"/>
  <sheetViews>
    <sheetView topLeftCell="A16" workbookViewId="0">
      <selection activeCell="P16" sqref="P16"/>
    </sheetView>
  </sheetViews>
  <sheetFormatPr defaultRowHeight="14.4"/>
  <cols>
    <col min="2" max="2" width="12.44140625" bestFit="1" customWidth="1"/>
    <col min="3" max="3" width="18.6640625" bestFit="1" customWidth="1"/>
    <col min="13" max="13" width="11.88671875" customWidth="1"/>
    <col min="14" max="14" width="18.109375" customWidth="1"/>
  </cols>
  <sheetData>
    <row r="1" spans="2:16" ht="21">
      <c r="C1" s="192" t="s">
        <v>399</v>
      </c>
      <c r="D1" s="192"/>
      <c r="E1" s="192"/>
      <c r="F1" s="192"/>
      <c r="G1" s="192"/>
      <c r="H1" s="192"/>
      <c r="I1" s="192"/>
      <c r="J1" s="192"/>
      <c r="K1" s="192"/>
      <c r="L1" s="192"/>
      <c r="M1" s="192"/>
      <c r="N1" s="192"/>
      <c r="O1" s="192"/>
      <c r="P1" s="192"/>
    </row>
    <row r="4" spans="2:16">
      <c r="B4" s="164" t="s">
        <v>377</v>
      </c>
      <c r="C4" t="s">
        <v>380</v>
      </c>
    </row>
    <row r="5" spans="2:16">
      <c r="B5" s="5" t="s">
        <v>10</v>
      </c>
      <c r="C5" s="204">
        <v>1442640.5641928494</v>
      </c>
    </row>
    <row r="6" spans="2:16">
      <c r="B6" s="5" t="s">
        <v>16</v>
      </c>
      <c r="C6" s="204">
        <v>1625443.8536585364</v>
      </c>
    </row>
    <row r="7" spans="2:16">
      <c r="B7" s="5" t="s">
        <v>33</v>
      </c>
      <c r="C7" s="204">
        <v>1651012.9285714286</v>
      </c>
    </row>
    <row r="8" spans="2:16">
      <c r="B8" s="5" t="s">
        <v>41</v>
      </c>
      <c r="C8" s="204">
        <v>1847562.9862403763</v>
      </c>
    </row>
    <row r="9" spans="2:16">
      <c r="B9" s="5" t="s">
        <v>25</v>
      </c>
      <c r="C9" s="204">
        <v>1771924</v>
      </c>
    </row>
    <row r="10" spans="2:16">
      <c r="B10" s="5" t="s">
        <v>12</v>
      </c>
      <c r="C10" s="204">
        <v>1597745</v>
      </c>
    </row>
    <row r="11" spans="2:16">
      <c r="B11" s="5" t="s">
        <v>378</v>
      </c>
      <c r="C11" s="204">
        <v>9936329.3326631915</v>
      </c>
    </row>
    <row r="21" spans="2:3">
      <c r="B21" s="164" t="s">
        <v>377</v>
      </c>
      <c r="C21" t="s">
        <v>379</v>
      </c>
    </row>
    <row r="22" spans="2:3">
      <c r="B22" s="5" t="s">
        <v>35</v>
      </c>
      <c r="C22" s="204">
        <v>34</v>
      </c>
    </row>
    <row r="23" spans="2:3">
      <c r="B23" s="5" t="s">
        <v>27</v>
      </c>
      <c r="C23" s="204">
        <v>32</v>
      </c>
    </row>
    <row r="24" spans="2:3">
      <c r="B24" s="5" t="s">
        <v>18</v>
      </c>
      <c r="C24" s="204">
        <v>35</v>
      </c>
    </row>
    <row r="25" spans="2:3">
      <c r="B25" s="5" t="s">
        <v>12</v>
      </c>
      <c r="C25" s="204">
        <v>49</v>
      </c>
    </row>
    <row r="26" spans="2:3">
      <c r="B26" s="5" t="s">
        <v>378</v>
      </c>
      <c r="C26" s="204">
        <v>150</v>
      </c>
    </row>
    <row r="38" spans="2:3">
      <c r="B38" s="164" t="s">
        <v>377</v>
      </c>
      <c r="C38" t="s">
        <v>379</v>
      </c>
    </row>
    <row r="39" spans="2:3">
      <c r="B39" s="5" t="s">
        <v>63</v>
      </c>
      <c r="C39" s="204">
        <v>19</v>
      </c>
    </row>
    <row r="40" spans="2:3">
      <c r="B40" s="5" t="s">
        <v>17</v>
      </c>
      <c r="C40" s="204">
        <v>23</v>
      </c>
    </row>
    <row r="41" spans="2:3">
      <c r="B41" s="5" t="s">
        <v>34</v>
      </c>
      <c r="C41" s="204">
        <v>28</v>
      </c>
    </row>
    <row r="42" spans="2:3">
      <c r="B42" s="5" t="s">
        <v>46</v>
      </c>
      <c r="C42" s="204">
        <v>25</v>
      </c>
    </row>
    <row r="43" spans="2:3">
      <c r="B43" s="5" t="s">
        <v>12</v>
      </c>
      <c r="C43" s="204">
        <v>31</v>
      </c>
    </row>
    <row r="44" spans="2:3">
      <c r="B44" s="5" t="s">
        <v>26</v>
      </c>
      <c r="C44" s="204">
        <v>24</v>
      </c>
    </row>
    <row r="45" spans="2:3">
      <c r="B45" s="5" t="s">
        <v>378</v>
      </c>
      <c r="C45" s="204">
        <v>150</v>
      </c>
    </row>
  </sheetData>
  <mergeCells count="1">
    <mergeCell ref="C1:P1"/>
  </mergeCells>
  <pageMargins left="0.7" right="0.7" top="0.75" bottom="0.75" header="0.3" footer="0.3"/>
  <drawing r:id="rId4"/>
  <extLst>
    <ext xmlns:x14="http://schemas.microsoft.com/office/spreadsheetml/2009/9/main" uri="{05C60535-1F16-4fd2-B633-F4F36F0B64E0}">
      <x14:sparklineGroups xmlns:xm="http://schemas.microsoft.com/office/excel/2006/main">
        <x14:sparklineGroup type="column" displayEmptyCellsAs="gap" xr2:uid="{FFA834BA-9DD2-4B48-ACB8-C99559714177}">
          <x14:colorSeries rgb="FF000000"/>
          <x14:colorNegative rgb="FF0070C0"/>
          <x14:colorAxis rgb="FF000000"/>
          <x14:colorMarkers rgb="FF0070C0"/>
          <x14:colorFirst rgb="FF0070C0"/>
          <x14:colorLast rgb="FF0070C0"/>
          <x14:colorHigh rgb="FF0070C0"/>
          <x14:colorLow rgb="FF0070C0"/>
          <x14:sparklines>
            <x14:sparkline>
              <xm:f>'Charts &amp; Graphs (Part 1)'!B4:B4</xm:f>
              <xm:sqref>F4</xm:sqref>
            </x14:sparkline>
          </x14:sparklines>
        </x14:sparklineGroup>
      </x14:sparklineGroup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3F12D9-E09A-4F45-BD39-8F174F684A4B}">
  <dimension ref="A1:P27"/>
  <sheetViews>
    <sheetView workbookViewId="0">
      <selection activeCell="L14" sqref="L14"/>
    </sheetView>
  </sheetViews>
  <sheetFormatPr defaultRowHeight="14.4"/>
  <cols>
    <col min="1" max="1" width="12.44140625" bestFit="1" customWidth="1"/>
    <col min="2" max="2" width="12.21875" bestFit="1" customWidth="1"/>
    <col min="3" max="3" width="16.21875" customWidth="1"/>
    <col min="4" max="4" width="17.77734375" customWidth="1"/>
    <col min="5" max="5" width="43.6640625" customWidth="1"/>
    <col min="6" max="6" width="10.109375" customWidth="1"/>
    <col min="7" max="7" width="13" customWidth="1"/>
    <col min="12" max="12" width="12.44140625" bestFit="1" customWidth="1"/>
    <col min="13" max="13" width="15.109375" bestFit="1" customWidth="1"/>
    <col min="14" max="14" width="18.6640625" bestFit="1" customWidth="1"/>
  </cols>
  <sheetData>
    <row r="1" spans="1:16" ht="21">
      <c r="A1" s="203" t="s">
        <v>400</v>
      </c>
      <c r="B1" s="203"/>
      <c r="C1" s="203"/>
      <c r="D1" s="203"/>
      <c r="E1" s="203"/>
      <c r="F1" s="203"/>
      <c r="G1" s="203"/>
      <c r="H1" s="203"/>
      <c r="I1" s="203"/>
      <c r="J1" s="203"/>
      <c r="K1" s="203"/>
      <c r="L1" s="203"/>
      <c r="M1" s="203"/>
      <c r="N1" s="203"/>
      <c r="O1" s="203"/>
      <c r="P1" s="203"/>
    </row>
    <row r="4" spans="1:16">
      <c r="L4" s="164" t="s">
        <v>377</v>
      </c>
      <c r="M4" t="s">
        <v>383</v>
      </c>
      <c r="N4" s="51" t="s">
        <v>379</v>
      </c>
    </row>
    <row r="5" spans="1:16">
      <c r="L5" s="5" t="s">
        <v>10</v>
      </c>
      <c r="M5" s="105">
        <v>65574.571099674969</v>
      </c>
      <c r="N5" s="205">
        <v>22</v>
      </c>
    </row>
    <row r="6" spans="1:16">
      <c r="L6" s="5" t="s">
        <v>16</v>
      </c>
      <c r="M6" s="105">
        <v>67726.827235772347</v>
      </c>
      <c r="N6" s="205">
        <v>24</v>
      </c>
    </row>
    <row r="7" spans="1:16">
      <c r="L7" s="5" t="s">
        <v>33</v>
      </c>
      <c r="M7" s="105">
        <v>66040.517142857148</v>
      </c>
      <c r="N7" s="205">
        <v>25</v>
      </c>
    </row>
    <row r="8" spans="1:16">
      <c r="L8" s="5" t="s">
        <v>41</v>
      </c>
      <c r="M8" s="105">
        <v>63709.068491047459</v>
      </c>
      <c r="N8" s="205">
        <v>29</v>
      </c>
    </row>
    <row r="9" spans="1:16">
      <c r="L9" s="5" t="s">
        <v>25</v>
      </c>
      <c r="M9" s="105">
        <v>68150.923076923078</v>
      </c>
      <c r="N9" s="205">
        <v>26</v>
      </c>
    </row>
    <row r="10" spans="1:16">
      <c r="L10" s="5" t="s">
        <v>12</v>
      </c>
      <c r="M10" s="105">
        <v>66572.708333333328</v>
      </c>
      <c r="N10" s="205">
        <v>24</v>
      </c>
    </row>
    <row r="11" spans="1:16">
      <c r="L11" s="5" t="s">
        <v>378</v>
      </c>
      <c r="M11" s="105">
        <v>66242.195551087949</v>
      </c>
      <c r="N11" s="205">
        <v>150</v>
      </c>
    </row>
    <row r="14" spans="1:16">
      <c r="L14" s="164" t="s">
        <v>377</v>
      </c>
      <c r="M14" t="s">
        <v>380</v>
      </c>
    </row>
    <row r="15" spans="1:16">
      <c r="L15" s="5" t="s">
        <v>10</v>
      </c>
      <c r="M15" s="105">
        <v>1442640.5641928494</v>
      </c>
    </row>
    <row r="16" spans="1:16">
      <c r="L16" s="5" t="s">
        <v>16</v>
      </c>
      <c r="M16" s="105">
        <v>1625443.8536585364</v>
      </c>
    </row>
    <row r="17" spans="12:13">
      <c r="L17" s="5" t="s">
        <v>33</v>
      </c>
      <c r="M17" s="105">
        <v>1651012.9285714286</v>
      </c>
    </row>
    <row r="18" spans="12:13">
      <c r="L18" s="5" t="s">
        <v>41</v>
      </c>
      <c r="M18" s="105">
        <v>1847562.9862403763</v>
      </c>
    </row>
    <row r="19" spans="12:13">
      <c r="L19" s="5" t="s">
        <v>25</v>
      </c>
      <c r="M19" s="105">
        <v>1771924</v>
      </c>
    </row>
    <row r="20" spans="12:13">
      <c r="L20" s="5" t="s">
        <v>12</v>
      </c>
      <c r="M20" s="105">
        <v>1597745</v>
      </c>
    </row>
    <row r="21" spans="12:13">
      <c r="L21" s="5" t="s">
        <v>378</v>
      </c>
      <c r="M21" s="105">
        <v>9936329.3326631915</v>
      </c>
    </row>
    <row r="27" spans="12:13" ht="79.2" customHeight="1"/>
  </sheetData>
  <mergeCells count="1">
    <mergeCell ref="A1:P1"/>
  </mergeCells>
  <pageMargins left="0.7" right="0.7" top="0.75" bottom="0.75" header="0.3" footer="0.3"/>
  <drawing r:id="rId3"/>
  <extLst>
    <ext xmlns:x14="http://schemas.microsoft.com/office/spreadsheetml/2009/9/main" uri="{05C60535-1F16-4fd2-B633-F4F36F0B64E0}">
      <x14:sparklineGroups xmlns:xm="http://schemas.microsoft.com/office/excel/2006/main">
        <x14:sparklineGroup displayEmptyCellsAs="gap" markers="1" xr2:uid="{8BCDF77E-EDA6-4D7F-82F3-0C6ED97051A7}">
          <x14:colorSeries theme="6" tint="-0.499984740745262"/>
          <x14:colorNegative theme="7"/>
          <x14:colorAxis rgb="FF000000"/>
          <x14:colorMarkers theme="6" tint="-0.499984740745262"/>
          <x14:colorFirst theme="6" tint="0.39997558519241921"/>
          <x14:colorLast theme="6" tint="0.39997558519241921"/>
          <x14:colorHigh theme="6"/>
          <x14:colorLow theme="6"/>
          <x14:sparklines>
            <x14:sparkline>
              <xm:f>' Charts &amp; Graphs (Part 2)'!C26:C26</xm:f>
              <xm:sqref>E24</xm:sqref>
            </x14:sparkline>
          </x14:sparklines>
        </x14:sparklineGroup>
        <x14:sparklineGroup displayEmptyCellsAs="gap" markers="1" xr2:uid="{6480D8EC-2524-4860-BAFA-97559113316B}">
          <x14:colorSeries rgb="FF323232"/>
          <x14:colorNegative rgb="FFD00000"/>
          <x14:colorAxis rgb="FF000000"/>
          <x14:colorMarkers rgb="FFD00000"/>
          <x14:colorFirst rgb="FFD00000"/>
          <x14:colorLast rgb="FFD00000"/>
          <x14:colorHigh rgb="FFD00000"/>
          <x14:colorLow rgb="FFD00000"/>
          <x14:sparklines>
            <x14:sparkline>
              <xm:f>' Charts &amp; Graphs (Part 2)'!B18:B23</xm:f>
              <xm:sqref>E27</xm:sqref>
            </x14:sparkline>
          </x14:sparklines>
        </x14:sparklineGroup>
        <x14:sparklineGroup displayEmptyCellsAs="gap" markers="1" high="1" low="1" xr2:uid="{456E58B3-43F0-4343-AA60-531A1114F19E}">
          <x14:colorSeries rgb="FF323232"/>
          <x14:colorNegative rgb="FFD00000"/>
          <x14:colorAxis rgb="FF000000"/>
          <x14:colorMarkers rgb="FFD00000"/>
          <x14:colorFirst rgb="FFD00000"/>
          <x14:colorLast rgb="FFD00000"/>
          <x14:colorHigh rgb="FFD00000"/>
          <x14:colorLow rgb="FFD00000"/>
          <x14:sparklines>
            <x14:sparkline>
              <xm:f>' Charts &amp; Graphs (Part 2)'!C25:C30</xm:f>
              <xm:sqref>E25</xm:sqref>
            </x14:sparkline>
          </x14:sparklines>
        </x14:sparklineGroup>
        <x14:sparklineGroup displayEmptyCellsAs="gap" xr2:uid="{C01A58C7-3218-418D-843A-C788018C611B}">
          <x14:colorSeries theme="3"/>
          <x14:colorNegative theme="4"/>
          <x14:colorAxis rgb="FF000000"/>
          <x14:colorMarkers theme="9"/>
          <x14:colorFirst theme="5"/>
          <x14:colorLast theme="6"/>
          <x14:colorHigh theme="7"/>
          <x14:colorLow theme="8"/>
          <x14:sparklines>
            <x14:sparkline>
              <xm:f>' Charts &amp; Graphs (Part 2)'!C25:C25</xm:f>
              <xm:sqref>E23</xm:sqref>
            </x14:sparkline>
          </x14:sparklines>
        </x14:sparklineGroup>
      </x14:sparklineGroups>
    </ext>
    <ext xmlns:x14="http://schemas.microsoft.com/office/spreadsheetml/2009/9/main" uri="{A8765BA9-456A-4dab-B4F3-ACF838C121DE}">
      <x14:slicerList>
        <x14:slicer r:id="rId4"/>
      </x14:slicerList>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2695FC-5C69-4D33-B5F1-9C60CD2854FE}">
  <dimension ref="C1:V47"/>
  <sheetViews>
    <sheetView topLeftCell="A5" workbookViewId="0">
      <selection activeCell="M40" sqref="M40"/>
    </sheetView>
  </sheetViews>
  <sheetFormatPr defaultRowHeight="14.4"/>
  <cols>
    <col min="1" max="18" width="8.88671875" style="209"/>
    <col min="19" max="19" width="12.44140625" style="209" bestFit="1" customWidth="1"/>
    <col min="20" max="20" width="12.21875" style="209" bestFit="1" customWidth="1"/>
    <col min="21" max="21" width="12.44140625" style="209" bestFit="1" customWidth="1"/>
    <col min="22" max="22" width="12.21875" style="209" bestFit="1" customWidth="1"/>
    <col min="23" max="16384" width="8.88671875" style="209"/>
  </cols>
  <sheetData>
    <row r="1" spans="3:21" ht="27.6">
      <c r="C1" s="208" t="s">
        <v>401</v>
      </c>
      <c r="D1" s="208"/>
      <c r="E1" s="208"/>
      <c r="F1" s="208"/>
      <c r="G1" s="208"/>
      <c r="H1" s="208"/>
      <c r="I1" s="208"/>
      <c r="J1" s="208"/>
      <c r="K1" s="208"/>
      <c r="L1" s="208"/>
      <c r="M1" s="208"/>
      <c r="N1" s="208"/>
      <c r="O1" s="208"/>
      <c r="P1" s="208"/>
      <c r="Q1" s="208"/>
      <c r="R1" s="208"/>
      <c r="S1" s="208"/>
      <c r="T1" s="208"/>
      <c r="U1" s="208"/>
    </row>
    <row r="6" spans="3:21">
      <c r="S6" s="210" t="s">
        <v>377</v>
      </c>
      <c r="T6" s="209" t="s">
        <v>380</v>
      </c>
      <c r="U6" s="211" t="s">
        <v>382</v>
      </c>
    </row>
    <row r="7" spans="3:21">
      <c r="S7" s="212" t="s">
        <v>10</v>
      </c>
      <c r="T7" s="213">
        <v>1442640.5641928494</v>
      </c>
      <c r="U7" s="214">
        <v>22</v>
      </c>
    </row>
    <row r="8" spans="3:21">
      <c r="S8" s="212" t="s">
        <v>16</v>
      </c>
      <c r="T8" s="213">
        <v>1625443.8536585364</v>
      </c>
      <c r="U8" s="214">
        <v>24</v>
      </c>
    </row>
    <row r="9" spans="3:21">
      <c r="S9" s="212" t="s">
        <v>33</v>
      </c>
      <c r="T9" s="213">
        <v>1651012.9285714286</v>
      </c>
      <c r="U9" s="214">
        <v>25</v>
      </c>
    </row>
    <row r="10" spans="3:21">
      <c r="S10" s="212" t="s">
        <v>41</v>
      </c>
      <c r="T10" s="213">
        <v>1946037.9862403763</v>
      </c>
      <c r="U10" s="214">
        <v>30</v>
      </c>
    </row>
    <row r="11" spans="3:21">
      <c r="S11" s="212" t="s">
        <v>25</v>
      </c>
      <c r="T11" s="213">
        <v>1771924</v>
      </c>
      <c r="U11" s="214">
        <v>26</v>
      </c>
    </row>
    <row r="12" spans="3:21">
      <c r="S12" s="212" t="s">
        <v>12</v>
      </c>
      <c r="T12" s="213">
        <v>1597745</v>
      </c>
      <c r="U12" s="214">
        <v>24</v>
      </c>
    </row>
    <row r="13" spans="3:21">
      <c r="S13" s="212" t="s">
        <v>378</v>
      </c>
      <c r="T13" s="215">
        <v>10034804.332663191</v>
      </c>
      <c r="U13" s="214">
        <v>151</v>
      </c>
    </row>
    <row r="23" spans="21:22">
      <c r="U23" s="164" t="s">
        <v>377</v>
      </c>
      <c r="V23" t="s">
        <v>379</v>
      </c>
    </row>
    <row r="24" spans="21:22">
      <c r="U24" s="5" t="s">
        <v>35</v>
      </c>
      <c r="V24" s="204">
        <v>34</v>
      </c>
    </row>
    <row r="25" spans="21:22">
      <c r="U25" s="5" t="s">
        <v>27</v>
      </c>
      <c r="V25" s="204">
        <v>32</v>
      </c>
    </row>
    <row r="26" spans="21:22">
      <c r="U26" s="5" t="s">
        <v>18</v>
      </c>
      <c r="V26" s="204">
        <v>35</v>
      </c>
    </row>
    <row r="27" spans="21:22">
      <c r="U27" s="5" t="s">
        <v>12</v>
      </c>
      <c r="V27" s="204">
        <v>49</v>
      </c>
    </row>
    <row r="28" spans="21:22">
      <c r="U28" s="5" t="s">
        <v>378</v>
      </c>
      <c r="V28" s="204">
        <v>150</v>
      </c>
    </row>
    <row r="30" spans="21:22">
      <c r="U30" s="164" t="s">
        <v>377</v>
      </c>
      <c r="V30" t="s">
        <v>380</v>
      </c>
    </row>
    <row r="31" spans="21:22">
      <c r="U31" s="5" t="s">
        <v>10</v>
      </c>
      <c r="V31" s="204">
        <v>1442640.5641928494</v>
      </c>
    </row>
    <row r="32" spans="21:22">
      <c r="U32" s="5" t="s">
        <v>16</v>
      </c>
      <c r="V32" s="204">
        <v>1625443.8536585364</v>
      </c>
    </row>
    <row r="33" spans="20:22">
      <c r="U33" s="5" t="s">
        <v>33</v>
      </c>
      <c r="V33" s="204">
        <v>1651012.9285714286</v>
      </c>
    </row>
    <row r="34" spans="20:22">
      <c r="U34" s="5" t="s">
        <v>41</v>
      </c>
      <c r="V34" s="204">
        <v>1847562.9862403763</v>
      </c>
    </row>
    <row r="35" spans="20:22">
      <c r="U35" s="5" t="s">
        <v>25</v>
      </c>
      <c r="V35" s="204">
        <v>1771924</v>
      </c>
    </row>
    <row r="36" spans="20:22">
      <c r="U36" s="5" t="s">
        <v>12</v>
      </c>
      <c r="V36" s="204">
        <v>1597745</v>
      </c>
    </row>
    <row r="37" spans="20:22">
      <c r="U37" s="5" t="s">
        <v>378</v>
      </c>
      <c r="V37" s="204">
        <v>9936329.3326631915</v>
      </c>
    </row>
    <row r="40" spans="20:22">
      <c r="T40" s="210" t="s">
        <v>377</v>
      </c>
      <c r="U40" s="209" t="s">
        <v>379</v>
      </c>
    </row>
    <row r="41" spans="20:22">
      <c r="T41" s="212" t="s">
        <v>63</v>
      </c>
      <c r="U41" s="215">
        <v>19</v>
      </c>
    </row>
    <row r="42" spans="20:22">
      <c r="T42" s="212" t="s">
        <v>17</v>
      </c>
      <c r="U42" s="215">
        <v>23</v>
      </c>
    </row>
    <row r="43" spans="20:22">
      <c r="T43" s="212" t="s">
        <v>34</v>
      </c>
      <c r="U43" s="215">
        <v>28</v>
      </c>
    </row>
    <row r="44" spans="20:22">
      <c r="T44" s="212" t="s">
        <v>46</v>
      </c>
      <c r="U44" s="215">
        <v>25</v>
      </c>
    </row>
    <row r="45" spans="20:22">
      <c r="T45" s="212" t="s">
        <v>12</v>
      </c>
      <c r="U45" s="215">
        <v>31</v>
      </c>
    </row>
    <row r="46" spans="20:22">
      <c r="T46" s="212" t="s">
        <v>26</v>
      </c>
      <c r="U46" s="215">
        <v>24</v>
      </c>
    </row>
    <row r="47" spans="20:22">
      <c r="T47" s="212" t="s">
        <v>378</v>
      </c>
      <c r="U47" s="215">
        <v>150</v>
      </c>
    </row>
  </sheetData>
  <mergeCells count="1">
    <mergeCell ref="C1:U1"/>
  </mergeCells>
  <pageMargins left="0.7" right="0.7" top="0.75" bottom="0.75" header="0.3" footer="0.3"/>
  <drawing r:id="rId5"/>
  <extLst>
    <ext xmlns:x14="http://schemas.microsoft.com/office/spreadsheetml/2009/9/main" uri="{A8765BA9-456A-4dab-B4F3-ACF838C121DE}">
      <x14:slicerList>
        <x14:slicer r:id="rId6"/>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8A0D3FE-DE0B-4F4B-9D02-EB65B9447E0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 Formatting</vt:lpstr>
      <vt:lpstr>Cleaning</vt:lpstr>
      <vt:lpstr> Summary satistics </vt:lpstr>
      <vt:lpstr> Condition Formatting</vt:lpstr>
      <vt:lpstr>Text  Cleanup</vt:lpstr>
      <vt:lpstr>Finding Duplicates</vt:lpstr>
      <vt:lpstr> POWER QUERY 1</vt:lpstr>
      <vt:lpstr>Conditional Formatting</vt:lpstr>
      <vt:lpstr>Descriptive Statistics</vt:lpstr>
      <vt:lpstr>Filtering, Sorting &amp; Exploring </vt:lpstr>
      <vt:lpstr>Date &amp; Time Functions</vt:lpstr>
      <vt:lpstr>Orginal data</vt:lpstr>
      <vt:lpstr>VLOOOKUP Duplicates</vt:lpstr>
      <vt:lpstr>INDEX +MATCH</vt:lpstr>
      <vt:lpstr>Pivot Tables</vt:lpstr>
      <vt:lpstr>Pivot Tables (Part 2)</vt:lpstr>
      <vt:lpstr>Charts &amp; Graphs (Part 1)</vt:lpstr>
      <vt:lpstr> Charts &amp; Graphs (Part 2)</vt:lpstr>
      <vt:lpstr>Dashboard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INDHIRA S</dc:creator>
  <cp:lastModifiedBy>INDHIRA S</cp:lastModifiedBy>
  <cp:lastPrinted>2025-11-17T04:08:16Z</cp:lastPrinted>
  <dcterms:created xsi:type="dcterms:W3CDTF">2025-11-15T01:30:43Z</dcterms:created>
  <dcterms:modified xsi:type="dcterms:W3CDTF">2025-11-17T04:09:19Z</dcterms:modified>
</cp:coreProperties>
</file>